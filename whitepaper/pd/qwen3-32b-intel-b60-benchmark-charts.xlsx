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Raw_vs_llmd" sheetId="2" r:id="rId2"/>
    <sheet name="02_Agg_vs_1P1D" sheetId="3" r:id="rId3"/>
    <sheet name="03_2P2D_vs_1P3D" sheetId="4" r:id="rId4"/>
    <sheet name="04_Equal_ABBA" sheetId="5" r:id="rId5"/>
    <sheet name="05_3P1D_Failure" sheetId="6" r:id="rId6"/>
    <sheet name="06_Dashboard" sheetId="7" r:id="rId7"/>
  </sheets>
  <definedNames>
    <definedName name="_xlnm._FilterDatabase" localSheetId="1" hidden="1">'01_Raw_vs_llmd'!$O$9:$U$18</definedName>
    <definedName name="_xlnm._FilterDatabase" localSheetId="2" hidden="1">'02_Agg_vs_1P1D'!$A$2:$K$12</definedName>
    <definedName name="_xlnm._FilterDatabase" localSheetId="3" hidden="1">'03_2P2D_vs_1P3D'!$M$2:$R$11</definedName>
    <definedName name="_xlnm._FilterDatabase" localSheetId="4" hidden="1">'04_Equal_ABBA'!$K$14:$N$21</definedName>
    <definedName name="_xlnm._FilterDatabase" localSheetId="5" hidden="1">'05_3P1D_Failure'!$A$4:$C$6</definedName>
  </definedNames>
  <calcPr calcId="124519" fullCalcOnLoad="1"/>
</workbook>
</file>

<file path=xl/sharedStrings.xml><?xml version="1.0" encoding="utf-8"?>
<sst xmlns="http://schemas.openxmlformats.org/spreadsheetml/2006/main" count="297" uniqueCount="145">
  <si>
    <t>Qwen3-32B P/D Benchmark Chart Workbook</t>
  </si>
  <si>
    <t>Source report</t>
  </si>
  <si>
    <t>whitepaper/pd/qwen3-32b-intel-b60-benchmark.md</t>
  </si>
  <si>
    <t>Purpose</t>
  </si>
  <si>
    <t>Convert the first P/D/topology report tables into editable Excel charts without changing the report's comparison scope.</t>
  </si>
  <si>
    <t>Throughput</t>
  </si>
  <si>
    <t>Higher is better.</t>
  </si>
  <si>
    <t>TTFT / TPOT / E2E</t>
  </si>
  <si>
    <t>Lower is better.</t>
  </si>
  <si>
    <t>Ratio direction</t>
  </si>
  <si>
    <t>Every sheet states its numerator and denominator. A dashed reference line marks parity.</t>
  </si>
  <si>
    <t>Aggregate vs 1P1D</t>
  </si>
  <si>
    <t>Only the ten same-node cases are compared.</t>
  </si>
  <si>
    <t>2P2D vs 1P3D</t>
  </si>
  <si>
    <t>Both topologies use 16 XPUs; effects remain workload-dependent.</t>
  </si>
  <si>
    <t>3P1D</t>
  </si>
  <si>
    <t>Failure evidence only. It is never plotted as a performance result.</t>
  </si>
  <si>
    <t>Dashboard</t>
  </si>
  <si>
    <t>Eight selected charts summarize the main comparisons; detailed sheets retain source rows and additional charts.</t>
  </si>
  <si>
    <t>Regeneration</t>
  </si>
  <si>
    <t>Run: python3 whitepaper/pd/generate_benchmark_charts.py</t>
  </si>
  <si>
    <t>Dependency</t>
  </si>
  <si>
    <t>Python 3 and XlsxWriter 3.x.</t>
  </si>
  <si>
    <t>Sheets</t>
  </si>
  <si>
    <t>01_Raw_vs_llmd</t>
  </si>
  <si>
    <t>24 paired Raw/llm-d cases, suite ratios, grouped ratios, and delta charts.</t>
  </si>
  <si>
    <t>02_Agg_vs_1P1D</t>
  </si>
  <si>
    <t>Ten strict same-node comparisons and TTFT/TPOT trade-off charts.</t>
  </si>
  <si>
    <t>03_2P2D_vs_1P3D</t>
  </si>
  <si>
    <t>Equal-resource 24-case data, grouped ratios, and throughput heatmap.</t>
  </si>
  <si>
    <t>04_Equal_ABBA</t>
  </si>
  <si>
    <t>Independent, shared-prefix, and long-output equal-resource ABBA results.</t>
  </si>
  <si>
    <t>05_3P1D_Failure</t>
  </si>
  <si>
    <t>Two reproduced liveness failures, kept separate from performance charts.</t>
  </si>
  <si>
    <t>06_Dashboard</t>
  </si>
  <si>
    <t>Eight publication-oriented summary charts.</t>
  </si>
  <si>
    <t>Raw vLLM P/D versus llm-d 1P1D</t>
  </si>
  <si>
    <t>Case</t>
  </si>
  <si>
    <t>ISL</t>
  </si>
  <si>
    <t>OSL</t>
  </si>
  <si>
    <t>C</t>
  </si>
  <si>
    <t>Node</t>
  </si>
  <si>
    <t>Raw out tok/s</t>
  </si>
  <si>
    <t>llm-d out tok/s</t>
  </si>
  <si>
    <t>Throughput delta</t>
  </si>
  <si>
    <t>Raw p99 TTFT s</t>
  </si>
  <si>
    <t>llm-d p99 TTFT s</t>
  </si>
  <si>
    <t>Raw p99 TPOT ms</t>
  </si>
  <si>
    <t>llm-d p99 TPOT ms</t>
  </si>
  <si>
    <t>Parity</t>
  </si>
  <si>
    <t>I1K-O128-C1</t>
  </si>
  <si>
    <t>smc-19</t>
  </si>
  <si>
    <t>I1K-O128-C8</t>
  </si>
  <si>
    <t>I1K-O128-C32</t>
  </si>
  <si>
    <t>smc-22</t>
  </si>
  <si>
    <t>I1K-O128-C64</t>
  </si>
  <si>
    <t>I1K-O1K-C1</t>
  </si>
  <si>
    <t>I1K-O1K-C8</t>
  </si>
  <si>
    <t>I1K-O1K-C32</t>
  </si>
  <si>
    <t>I1K-O1K-C64</t>
  </si>
  <si>
    <t>I8K-O128-C1</t>
  </si>
  <si>
    <t>I8K-O128-C8</t>
  </si>
  <si>
    <t>I8K-O128-C32</t>
  </si>
  <si>
    <t>I8K-O128-C64</t>
  </si>
  <si>
    <t>I8K-O1K-C1</t>
  </si>
  <si>
    <t>I8K-O1K-C8</t>
  </si>
  <si>
    <t>I8K-O1K-C32</t>
  </si>
  <si>
    <t>I8K-O1K-C64</t>
  </si>
  <si>
    <t>I16K-O128-C1</t>
  </si>
  <si>
    <t>I16K-O128-C8</t>
  </si>
  <si>
    <t>I16K-O128-C32</t>
  </si>
  <si>
    <t>I16K-O128-C64</t>
  </si>
  <si>
    <t>I16K-O1K-C1</t>
  </si>
  <si>
    <t>I16K-O1K-C8</t>
  </si>
  <si>
    <t>I16K-O1K-C32</t>
  </si>
  <si>
    <t>I16K-O1K-C64</t>
  </si>
  <si>
    <t>Metric</t>
  </si>
  <si>
    <t>llm-d / Raw</t>
  </si>
  <si>
    <t>Delta</t>
  </si>
  <si>
    <t>Output throughput</t>
  </si>
  <si>
    <t>p99 TTFT</t>
  </si>
  <si>
    <t>p99 TPOT</t>
  </si>
  <si>
    <t>p99 E2E</t>
  </si>
  <si>
    <t>Dimension</t>
  </si>
  <si>
    <t>Group</t>
  </si>
  <si>
    <t>Cases</t>
  </si>
  <si>
    <t>Aggregate versus llm-d 1P1D (strict same-node cases)</t>
  </si>
  <si>
    <t>Aggregate out</t>
  </si>
  <si>
    <t>P/D out</t>
  </si>
  <si>
    <t>Out ratio</t>
  </si>
  <si>
    <t>p99 TTFT ratio</t>
  </si>
  <si>
    <t>p99 TPOT ratio</t>
  </si>
  <si>
    <t>p99 E2E ratio</t>
  </si>
  <si>
    <t>Aggregate/P-D</t>
  </si>
  <si>
    <t>Aggregate advantage</t>
  </si>
  <si>
    <t>Advantage converts latency ratios to P-D/Aggregate, so values above 1 favor Aggregate.</t>
  </si>
  <si>
    <t>Equal-resource 2P2D versus 1P3D</t>
  </si>
  <si>
    <t>2P2D out</t>
  </si>
  <si>
    <t>1P3D out</t>
  </si>
  <si>
    <t>Throughput heatmap: 1P3D / 2P2D</t>
  </si>
  <si>
    <t>ISL / OSL</t>
  </si>
  <si>
    <t>I1K / O128</t>
  </si>
  <si>
    <t>I1K / O1024</t>
  </si>
  <si>
    <t>I8K / O128</t>
  </si>
  <si>
    <t>I8K / O1024</t>
  </si>
  <si>
    <t>I16K / O128</t>
  </si>
  <si>
    <t>I16K / O1024</t>
  </si>
  <si>
    <t>Blue favors 2P2D; orange favors 1P3D; white is parity.</t>
  </si>
  <si>
    <t>Equal-resource Aggregate versus 2P2D ABBA</t>
  </si>
  <si>
    <t>Arm</t>
  </si>
  <si>
    <t>Topology</t>
  </si>
  <si>
    <t>Out tok/s</t>
  </si>
  <si>
    <t>Mean TTFT s</t>
  </si>
  <si>
    <t>p99 TTFT s</t>
  </si>
  <si>
    <t>Mean TPOT ms</t>
  </si>
  <si>
    <t>p99 TPOT ms</t>
  </si>
  <si>
    <t>Mean E2E s</t>
  </si>
  <si>
    <t>p99 E2E s</t>
  </si>
  <si>
    <t>A1</t>
  </si>
  <si>
    <t>Aggregate</t>
  </si>
  <si>
    <t>A2</t>
  </si>
  <si>
    <t>2P2D</t>
  </si>
  <si>
    <t>B1</t>
  </si>
  <si>
    <t>B2</t>
  </si>
  <si>
    <t>Workload</t>
  </si>
  <si>
    <t>Aggregate out tok/s</t>
  </si>
  <si>
    <t>2P2D out tok/s</t>
  </si>
  <si>
    <t>Aggregate/2P2D</t>
  </si>
  <si>
    <t>Independent C64</t>
  </si>
  <si>
    <t>Shared-prefix W2</t>
  </si>
  <si>
    <t>Long OSL1024</t>
  </si>
  <si>
    <t>p99 TTFT Aggregate/2P2D</t>
  </si>
  <si>
    <t>p99 TPOT Aggregate/2P2D</t>
  </si>
  <si>
    <t>Mean TTFT</t>
  </si>
  <si>
    <t>Mean TPOT</t>
  </si>
  <si>
    <t>Mean E2E</t>
  </si>
  <si>
    <t>3P1D Reproduced Liveness Failure</t>
  </si>
  <si>
    <t>Failure evidence only; no performance comparison or throughput ratio is valid.</t>
  </si>
  <si>
    <t>Evidence</t>
  </si>
  <si>
    <t>Attempt 1</t>
  </si>
  <si>
    <t>Attempt 2</t>
  </si>
  <si>
    <t>No-token-progress interval</t>
  </si>
  <si>
    <t>Missing completions</t>
  </si>
  <si>
    <t>Qwen3-32B P/D and Topology Benchmark Dashboard</t>
  </si>
  <si>
    <t>Dashed lines mark parity. Throughput is higher-is-better; latency is lower-is-better unless a chart explicitly says values were inverted.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</si>
</sst>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;[Red]-0.0%"/>
    <numFmt numFmtId="166" formatCode="0.0000&quot;x&quot;"/>
  </numFmts>
  <fonts count="6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3"/>
      <color rgb="FF1F4E78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Raw vs llm-d: Overall Difference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Delta</c:v>
          </c:tx>
          <c:spPr>
            <a:solidFill>
              <a:srgbClr val="4472C4"/>
            </a:solidFill>
            <a:ln>
              <a:noFill/>
            </a:ln>
          </c:spPr>
          <c:dLbls>
            <c:numFmt formatCode="0.0%" sourceLinked="0"/>
            <c:showVal val="1"/>
          </c:dLbls>
          <c:cat>
            <c:strRef>
              <c:f>'01_Raw_vs_llmd'!$O$3:$O$6</c:f>
              <c:strCache>
                <c:ptCount val="4"/>
                <c:pt idx="0">
                  <c:v>Output throughput</c:v>
                </c:pt>
                <c:pt idx="1">
                  <c:v>p99 TTFT</c:v>
                </c:pt>
                <c:pt idx="2">
                  <c:v>p99 TPOT</c:v>
                </c:pt>
                <c:pt idx="3">
                  <c:v>p99 E2E</c:v>
                </c:pt>
              </c:strCache>
            </c:strRef>
          </c:cat>
          <c:val>
            <c:numRef>
              <c:f>'01_Raw_vs_llmd'!$Q$3:$Q$6</c:f>
              <c:numCache>
                <c:formatCode>General</c:formatCode>
                <c:ptCount val="4"/>
                <c:pt idx="0">
                  <c:v>-0.005279999999999951</c:v>
                </c:pt>
                <c:pt idx="1">
                  <c:v>0.010159999999999947</c:v>
                </c:pt>
                <c:pt idx="2">
                  <c:v>0.005919999999999925</c:v>
                </c:pt>
                <c:pt idx="3">
                  <c:v>0.00770000000000004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'01_Raw_vs_llmd'!$O$3:$O$6</c:f>
              <c:strCache>
                <c:ptCount val="4"/>
                <c:pt idx="0">
                  <c:v>Output throughput</c:v>
                </c:pt>
                <c:pt idx="1">
                  <c:v>p99 TTFT</c:v>
                </c:pt>
                <c:pt idx="2">
                  <c:v>p99 TPOT</c:v>
                </c:pt>
                <c:pt idx="3">
                  <c:v>p99 E2E</c:v>
                </c:pt>
              </c:strCache>
            </c:strRef>
          </c:cat>
          <c:val>
            <c:numRef>
              <c:f>'01_Raw_vs_llmd'!$R$3:$R$6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0.06"/>
          <c:min val="-0.06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(llm-d / Raw) - 1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spPr>
        <a:ln>
          <a:solidFill>
            <a:srgbClr val="D9D9D9"/>
          </a:solidFill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Raw vs llm-d: Per-case Throughput Delta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Throughput delta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'01_Raw_vs_llmd'!$A$3:$A$26</c:f>
              <c:strCache>
                <c:ptCount val="24"/>
                <c:pt idx="0">
                  <c:v>I1K-O128-C1</c:v>
                </c:pt>
                <c:pt idx="1">
                  <c:v>I1K-O128-C8</c:v>
                </c:pt>
                <c:pt idx="2">
                  <c:v>I1K-O128-C32</c:v>
                </c:pt>
                <c:pt idx="3">
                  <c:v>I1K-O128-C64</c:v>
                </c:pt>
                <c:pt idx="4">
                  <c:v>I1K-O1K-C1</c:v>
                </c:pt>
                <c:pt idx="5">
                  <c:v>I1K-O1K-C8</c:v>
                </c:pt>
                <c:pt idx="6">
                  <c:v>I1K-O1K-C32</c:v>
                </c:pt>
                <c:pt idx="7">
                  <c:v>I1K-O1K-C64</c:v>
                </c:pt>
                <c:pt idx="8">
                  <c:v>I8K-O128-C1</c:v>
                </c:pt>
                <c:pt idx="9">
                  <c:v>I8K-O128-C8</c:v>
                </c:pt>
                <c:pt idx="10">
                  <c:v>I8K-O128-C32</c:v>
                </c:pt>
                <c:pt idx="11">
                  <c:v>I8K-O128-C64</c:v>
                </c:pt>
                <c:pt idx="12">
                  <c:v>I8K-O1K-C1</c:v>
                </c:pt>
                <c:pt idx="13">
                  <c:v>I8K-O1K-C8</c:v>
                </c:pt>
                <c:pt idx="14">
                  <c:v>I8K-O1K-C32</c:v>
                </c:pt>
                <c:pt idx="15">
                  <c:v>I8K-O1K-C64</c:v>
                </c:pt>
                <c:pt idx="16">
                  <c:v>I16K-O128-C1</c:v>
                </c:pt>
                <c:pt idx="17">
                  <c:v>I16K-O128-C8</c:v>
                </c:pt>
                <c:pt idx="18">
                  <c:v>I16K-O128-C32</c:v>
                </c:pt>
                <c:pt idx="19">
                  <c:v>I16K-O128-C64</c:v>
                </c:pt>
                <c:pt idx="20">
                  <c:v>I16K-O1K-C1</c:v>
                </c:pt>
                <c:pt idx="21">
                  <c:v>I16K-O1K-C8</c:v>
                </c:pt>
                <c:pt idx="22">
                  <c:v>I16K-O1K-C32</c:v>
                </c:pt>
                <c:pt idx="23">
                  <c:v>I16K-O1K-C64</c:v>
                </c:pt>
              </c:strCache>
            </c:strRef>
          </c:cat>
          <c:val>
            <c:numRef>
              <c:f>'01_Raw_vs_llmd'!$H$3:$H$26</c:f>
              <c:numCache>
                <c:formatCode>General</c:formatCode>
                <c:ptCount val="24"/>
                <c:pt idx="0">
                  <c:v>0.04704595185995619</c:v>
                </c:pt>
                <c:pt idx="1">
                  <c:v>0.01273069679849348</c:v>
                </c:pt>
                <c:pt idx="2">
                  <c:v>0.022437612109387217</c:v>
                </c:pt>
                <c:pt idx="3">
                  <c:v>0.0031535970716598527</c:v>
                </c:pt>
                <c:pt idx="4">
                  <c:v>-0.0005091649694501932</c:v>
                </c:pt>
                <c:pt idx="5">
                  <c:v>0.009694012134001673</c:v>
                </c:pt>
                <c:pt idx="6">
                  <c:v>-0.037782796769130655</c:v>
                </c:pt>
                <c:pt idx="7">
                  <c:v>-0.018622483910721632</c:v>
                </c:pt>
                <c:pt idx="8">
                  <c:v>0.010362694300518172</c:v>
                </c:pt>
                <c:pt idx="9">
                  <c:v>0.0016798656107510634</c:v>
                </c:pt>
                <c:pt idx="10">
                  <c:v>-0.001570210856886467</c:v>
                </c:pt>
                <c:pt idx="11">
                  <c:v>0.0</c:v>
                </c:pt>
                <c:pt idx="12">
                  <c:v>0.010503040353786686</c:v>
                </c:pt>
                <c:pt idx="13">
                  <c:v>-0.03718095910977659</c:v>
                </c:pt>
                <c:pt idx="14">
                  <c:v>-0.005247013238617981</c:v>
                </c:pt>
                <c:pt idx="15">
                  <c:v>-0.0007071024512885771</c:v>
                </c:pt>
                <c:pt idx="16">
                  <c:v>-0.02925809822361558</c:v>
                </c:pt>
                <c:pt idx="17">
                  <c:v>0.0010172939979653517</c:v>
                </c:pt>
                <c:pt idx="18">
                  <c:v>-0.0009950248756220859</c:v>
                </c:pt>
                <c:pt idx="19">
                  <c:v>0.0</c:v>
                </c:pt>
                <c:pt idx="20">
                  <c:v>-0.013832853025936731</c:v>
                </c:pt>
                <c:pt idx="21">
                  <c:v>-0.044103728941889075</c:v>
                </c:pt>
                <c:pt idx="22">
                  <c:v>-0.023180592991913773</c:v>
                </c:pt>
                <c:pt idx="23">
                  <c:v>0.00024715768660410475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'01_Raw_vs_llmd'!$A$3:$A$26</c:f>
              <c:strCache>
                <c:ptCount val="24"/>
                <c:pt idx="0">
                  <c:v>I1K-O128-C1</c:v>
                </c:pt>
                <c:pt idx="1">
                  <c:v>I1K-O128-C8</c:v>
                </c:pt>
                <c:pt idx="2">
                  <c:v>I1K-O128-C32</c:v>
                </c:pt>
                <c:pt idx="3">
                  <c:v>I1K-O128-C64</c:v>
                </c:pt>
                <c:pt idx="4">
                  <c:v>I1K-O1K-C1</c:v>
                </c:pt>
                <c:pt idx="5">
                  <c:v>I1K-O1K-C8</c:v>
                </c:pt>
                <c:pt idx="6">
                  <c:v>I1K-O1K-C32</c:v>
                </c:pt>
                <c:pt idx="7">
                  <c:v>I1K-O1K-C64</c:v>
                </c:pt>
                <c:pt idx="8">
                  <c:v>I8K-O128-C1</c:v>
                </c:pt>
                <c:pt idx="9">
                  <c:v>I8K-O128-C8</c:v>
                </c:pt>
                <c:pt idx="10">
                  <c:v>I8K-O128-C32</c:v>
                </c:pt>
                <c:pt idx="11">
                  <c:v>I8K-O128-C64</c:v>
                </c:pt>
                <c:pt idx="12">
                  <c:v>I8K-O1K-C1</c:v>
                </c:pt>
                <c:pt idx="13">
                  <c:v>I8K-O1K-C8</c:v>
                </c:pt>
                <c:pt idx="14">
                  <c:v>I8K-O1K-C32</c:v>
                </c:pt>
                <c:pt idx="15">
                  <c:v>I8K-O1K-C64</c:v>
                </c:pt>
                <c:pt idx="16">
                  <c:v>I16K-O128-C1</c:v>
                </c:pt>
                <c:pt idx="17">
                  <c:v>I16K-O128-C8</c:v>
                </c:pt>
                <c:pt idx="18">
                  <c:v>I16K-O128-C32</c:v>
                </c:pt>
                <c:pt idx="19">
                  <c:v>I16K-O128-C64</c:v>
                </c:pt>
                <c:pt idx="20">
                  <c:v>I16K-O1K-C1</c:v>
                </c:pt>
                <c:pt idx="21">
                  <c:v>I16K-O1K-C8</c:v>
                </c:pt>
                <c:pt idx="22">
                  <c:v>I16K-O1K-C32</c:v>
                </c:pt>
                <c:pt idx="23">
                  <c:v>I16K-O1K-C64</c:v>
                </c:pt>
              </c:strCache>
            </c:strRef>
          </c:cat>
          <c:val>
            <c:numRef>
              <c:f>'01_Raw_vs_llmd'!$M$3:$M$26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0.06"/>
          <c:min val="-0.06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(llm-d / Raw) - 1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spPr>
        <a:ln>
          <a:solidFill>
            <a:srgbClr val="D9D9D9"/>
          </a:solidFill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Aggregate Relative Advantage (&gt;1 favors Aggregate)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Aggregate relative advantage</c:v>
          </c:tx>
          <c:spPr>
            <a:solidFill>
              <a:srgbClr val="4472C4"/>
            </a:solidFill>
            <a:ln>
              <a:noFill/>
            </a:ln>
          </c:spPr>
          <c:dLbls>
            <c:numFmt formatCode="0.00x" sourceLinked="0"/>
            <c:showVal val="1"/>
          </c:dLbls>
          <c:cat>
            <c:strRef>
              <c:f>'02_Agg_vs_1P1D'!$M$3:$M$6</c:f>
              <c:strCache>
                <c:ptCount val="4"/>
                <c:pt idx="0">
                  <c:v>Output throughput</c:v>
                </c:pt>
                <c:pt idx="1">
                  <c:v>p99 TTFT</c:v>
                </c:pt>
                <c:pt idx="2">
                  <c:v>p99 TPOT</c:v>
                </c:pt>
                <c:pt idx="3">
                  <c:v>p99 E2E</c:v>
                </c:pt>
              </c:strCache>
            </c:strRef>
          </c:cat>
          <c:val>
            <c:numRef>
              <c:f>'02_Agg_vs_1P1D'!$O$3:$O$6</c:f>
              <c:numCache>
                <c:formatCode>General</c:formatCode>
                <c:ptCount val="4"/>
                <c:pt idx="0">
                  <c:v>1.2592</c:v>
                </c:pt>
                <c:pt idx="1">
                  <c:v>1.477104874446086</c:v>
                </c:pt>
                <c:pt idx="2">
                  <c:v>0.517196793379881</c:v>
                </c:pt>
                <c:pt idx="3">
                  <c:v>1.165908825929812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'02_Agg_vs_1P1D'!$M$3:$M$6</c:f>
              <c:strCache>
                <c:ptCount val="4"/>
                <c:pt idx="0">
                  <c:v>Output throughput</c:v>
                </c:pt>
                <c:pt idx="1">
                  <c:v>p99 TTFT</c:v>
                </c:pt>
                <c:pt idx="2">
                  <c:v>p99 TPOT</c:v>
                </c:pt>
                <c:pt idx="3">
                  <c:v>p99 E2E</c:v>
                </c:pt>
              </c:strCache>
            </c:strRef>
          </c:cat>
          <c:val>
            <c:numRef>
              <c:f>'02_Agg_vs_1P1D'!$P$3:$P$6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low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.7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Advantage factor; latency inverted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spPr>
        <a:ln>
          <a:solidFill>
            <a:srgbClr val="D9D9D9"/>
          </a:solidFill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Aggregate/P-D: Per-case TTFT and TPOT Ratios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p99 TTFT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'02_Agg_vs_1P1D'!$A$3:$A$12</c:f>
              <c:strCache>
                <c:ptCount val="10"/>
                <c:pt idx="0">
                  <c:v>I1K-O128-C1</c:v>
                </c:pt>
                <c:pt idx="1">
                  <c:v>I1K-O128-C8</c:v>
                </c:pt>
                <c:pt idx="2">
                  <c:v>I8K-O128-C1</c:v>
                </c:pt>
                <c:pt idx="3">
                  <c:v>I8K-O128-C8</c:v>
                </c:pt>
                <c:pt idx="4">
                  <c:v>I8K-O128-C64</c:v>
                </c:pt>
                <c:pt idx="5">
                  <c:v>I8K-O1K-C64</c:v>
                </c:pt>
                <c:pt idx="6">
                  <c:v>I16K-O128-C8</c:v>
                </c:pt>
                <c:pt idx="7">
                  <c:v>I16K-O128-C32</c:v>
                </c:pt>
                <c:pt idx="8">
                  <c:v>I16K-O128-C64</c:v>
                </c:pt>
                <c:pt idx="9">
                  <c:v>I16K-O1K-C64</c:v>
                </c:pt>
              </c:strCache>
            </c:strRef>
          </c:cat>
          <c:val>
            <c:numRef>
              <c:f>'02_Agg_vs_1P1D'!$H$3:$H$12</c:f>
              <c:numCache>
                <c:formatCode>General</c:formatCode>
                <c:ptCount val="10"/>
                <c:pt idx="0">
                  <c:v>0.797</c:v>
                </c:pt>
                <c:pt idx="1">
                  <c:v>0.523</c:v>
                </c:pt>
                <c:pt idx="2">
                  <c:v>0.9320000000000001</c:v>
                </c:pt>
                <c:pt idx="3">
                  <c:v>0.532</c:v>
                </c:pt>
                <c:pt idx="4">
                  <c:v>0.643</c:v>
                </c:pt>
                <c:pt idx="5">
                  <c:v>0.64</c:v>
                </c:pt>
                <c:pt idx="6">
                  <c:v>0.641</c:v>
                </c:pt>
                <c:pt idx="7">
                  <c:v>0.673</c:v>
                </c:pt>
                <c:pt idx="8">
                  <c:v>0.658</c:v>
                </c:pt>
                <c:pt idx="9">
                  <c:v>0.836</c:v>
                </c:pt>
              </c:numCache>
            </c:numRef>
          </c:val>
        </c:ser>
        <c:ser>
          <c:idx val="1"/>
          <c:order val="1"/>
          <c:tx>
            <c:v>p99 TPOT</c:v>
          </c:tx>
          <c:spPr>
            <a:solidFill>
              <a:srgbClr val="ED7D31"/>
            </a:solidFill>
            <a:ln>
              <a:noFill/>
            </a:ln>
          </c:spPr>
          <c:cat>
            <c:strRef>
              <c:f>'02_Agg_vs_1P1D'!$A$3:$A$12</c:f>
              <c:strCache>
                <c:ptCount val="10"/>
                <c:pt idx="0">
                  <c:v>I1K-O128-C1</c:v>
                </c:pt>
                <c:pt idx="1">
                  <c:v>I1K-O128-C8</c:v>
                </c:pt>
                <c:pt idx="2">
                  <c:v>I8K-O128-C1</c:v>
                </c:pt>
                <c:pt idx="3">
                  <c:v>I8K-O128-C8</c:v>
                </c:pt>
                <c:pt idx="4">
                  <c:v>I8K-O128-C64</c:v>
                </c:pt>
                <c:pt idx="5">
                  <c:v>I8K-O1K-C64</c:v>
                </c:pt>
                <c:pt idx="6">
                  <c:v>I16K-O128-C8</c:v>
                </c:pt>
                <c:pt idx="7">
                  <c:v>I16K-O128-C32</c:v>
                </c:pt>
                <c:pt idx="8">
                  <c:v>I16K-O128-C64</c:v>
                </c:pt>
                <c:pt idx="9">
                  <c:v>I16K-O1K-C64</c:v>
                </c:pt>
              </c:strCache>
            </c:strRef>
          </c:cat>
          <c:val>
            <c:numRef>
              <c:f>'02_Agg_vs_1P1D'!$I$3:$I$12</c:f>
              <c:numCache>
                <c:formatCode>General</c:formatCode>
                <c:ptCount val="10"/>
                <c:pt idx="0">
                  <c:v>1.032</c:v>
                </c:pt>
                <c:pt idx="1">
                  <c:v>1.228</c:v>
                </c:pt>
                <c:pt idx="2">
                  <c:v>0.896</c:v>
                </c:pt>
                <c:pt idx="3">
                  <c:v>2.306</c:v>
                </c:pt>
                <c:pt idx="4">
                  <c:v>3.562</c:v>
                </c:pt>
                <c:pt idx="5">
                  <c:v>1.286</c:v>
                </c:pt>
                <c:pt idx="6">
                  <c:v>3.728</c:v>
                </c:pt>
                <c:pt idx="7">
                  <c:v>3.732</c:v>
                </c:pt>
                <c:pt idx="8">
                  <c:v>3.689</c:v>
                </c:pt>
                <c:pt idx="9">
                  <c:v>1.185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2"/>
          <c:order val="2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'02_Agg_vs_1P1D'!$A$3:$A$12</c:f>
              <c:strCache>
                <c:ptCount val="10"/>
                <c:pt idx="0">
                  <c:v>I1K-O128-C1</c:v>
                </c:pt>
                <c:pt idx="1">
                  <c:v>I1K-O128-C8</c:v>
                </c:pt>
                <c:pt idx="2">
                  <c:v>I8K-O128-C1</c:v>
                </c:pt>
                <c:pt idx="3">
                  <c:v>I8K-O128-C8</c:v>
                </c:pt>
                <c:pt idx="4">
                  <c:v>I8K-O128-C64</c:v>
                </c:pt>
                <c:pt idx="5">
                  <c:v>I8K-O1K-C64</c:v>
                </c:pt>
                <c:pt idx="6">
                  <c:v>I16K-O128-C8</c:v>
                </c:pt>
                <c:pt idx="7">
                  <c:v>I16K-O128-C32</c:v>
                </c:pt>
                <c:pt idx="8">
                  <c:v>I16K-O128-C64</c:v>
                </c:pt>
                <c:pt idx="9">
                  <c:v>I16K-O1K-C64</c:v>
                </c:pt>
              </c:strCache>
            </c:strRef>
          </c:cat>
          <c:val>
            <c:numRef>
              <c:f>'02_Agg_vs_1P1D'!$K$3:$K$12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low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.1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Aggregate / P-D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1P3D/2P2D Throughput by Output Length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Throughput</c:v>
          </c:tx>
          <c:spPr>
            <a:solidFill>
              <a:srgbClr val="70AD47"/>
            </a:solidFill>
            <a:ln>
              <a:noFill/>
            </a:ln>
          </c:spPr>
          <c:cat>
            <c:numRef>
              <c:f>'03_2P2D_vs_1P3D'!$N$6:$N$7</c:f>
              <c:numCache>
                <c:formatCode>General</c:formatCode>
                <c:ptCount val="2"/>
                <c:pt idx="0">
                  <c:v>128</c:v>
                </c:pt>
                <c:pt idx="1">
                  <c:v>1024</c:v>
                </c:pt>
              </c:numCache>
            </c:numRef>
          </c:cat>
          <c:val>
            <c:numRef>
              <c:f>'03_2P2D_vs_1P3D'!$O$6:$O$7</c:f>
              <c:numCache>
                <c:formatCode>General</c:formatCode>
                <c:ptCount val="2"/>
                <c:pt idx="0">
                  <c:v>0.66</c:v>
                </c:pt>
                <c:pt idx="1">
                  <c:v>1.0624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numRef>
              <c:f>'03_2P2D_vs_1P3D'!$N$6:$N$7</c:f>
              <c:numCache>
                <c:formatCode>General</c:formatCode>
                <c:ptCount val="2"/>
                <c:pt idx="0">
                  <c:v>128</c:v>
                </c:pt>
                <c:pt idx="1">
                  <c:v>1024</c:v>
                </c:pt>
              </c:numCache>
            </c:numRef>
          </c:cat>
          <c:val>
            <c:numRef>
              <c:f>'03_2P2D_vs_1P3D'!$S$6:$S$7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low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.15"/>
          <c:min val="0.5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1P3D / 2P2D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1P3D/2P2D Throughput by Concurrency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Throughput</c:v>
          </c:tx>
          <c:spPr>
            <a:solidFill>
              <a:srgbClr val="70AD47"/>
            </a:solidFill>
            <a:ln>
              <a:noFill/>
            </a:ln>
          </c:spPr>
          <c:cat>
            <c:numRef>
              <c:f>'03_2P2D_vs_1P3D'!$N$8:$N$11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'03_2P2D_vs_1P3D'!$O$8:$O$11</c:f>
              <c:numCache>
                <c:formatCode>General</c:formatCode>
                <c:ptCount val="4"/>
                <c:pt idx="0">
                  <c:v>0.9883</c:v>
                </c:pt>
                <c:pt idx="1">
                  <c:v>0.8089</c:v>
                </c:pt>
                <c:pt idx="2">
                  <c:v>0.8145</c:v>
                </c:pt>
                <c:pt idx="3">
                  <c:v>0.7552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numRef>
              <c:f>'03_2P2D_vs_1P3D'!$N$8:$N$11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'03_2P2D_vs_1P3D'!$S$8:$S$11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low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1.1"/>
          <c:min val="0.5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1P3D / 2P2D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Equal-resource Output Throughput by Workload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Aggregate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'04_Equal_ABBA'!$K$4:$K$6</c:f>
              <c:strCache>
                <c:ptCount val="3"/>
                <c:pt idx="0">
                  <c:v>Independent C64</c:v>
                </c:pt>
                <c:pt idx="1">
                  <c:v>Shared-prefix W2</c:v>
                </c:pt>
                <c:pt idx="2">
                  <c:v>Long OSL1024</c:v>
                </c:pt>
              </c:strCache>
            </c:strRef>
          </c:cat>
          <c:val>
            <c:numRef>
              <c:f>'04_Equal_ABBA'!$L$4:$L$6</c:f>
              <c:numCache>
                <c:formatCode>General</c:formatCode>
                <c:ptCount val="3"/>
                <c:pt idx="0">
                  <c:v>133.675</c:v>
                </c:pt>
                <c:pt idx="1">
                  <c:v>141.986</c:v>
                </c:pt>
                <c:pt idx="2">
                  <c:v>40.479</c:v>
                </c:pt>
              </c:numCache>
            </c:numRef>
          </c:val>
        </c:ser>
        <c:ser>
          <c:idx val="1"/>
          <c:order val="1"/>
          <c:tx>
            <c:v>2P2D</c:v>
          </c:tx>
          <c:spPr>
            <a:solidFill>
              <a:srgbClr val="ED7D31"/>
            </a:solidFill>
            <a:ln>
              <a:noFill/>
            </a:ln>
          </c:spPr>
          <c:cat>
            <c:strRef>
              <c:f>'04_Equal_ABBA'!$K$4:$K$6</c:f>
              <c:strCache>
                <c:ptCount val="3"/>
                <c:pt idx="0">
                  <c:v>Independent C64</c:v>
                </c:pt>
                <c:pt idx="1">
                  <c:v>Shared-prefix W2</c:v>
                </c:pt>
                <c:pt idx="2">
                  <c:v>Long OSL1024</c:v>
                </c:pt>
              </c:strCache>
            </c:strRef>
          </c:cat>
          <c:val>
            <c:numRef>
              <c:f>'04_Equal_ABBA'!$M$4:$M$6</c:f>
              <c:numCache>
                <c:formatCode>General</c:formatCode>
                <c:ptCount val="3"/>
                <c:pt idx="0">
                  <c:v>87.571</c:v>
                </c:pt>
                <c:pt idx="1">
                  <c:v>135.15</c:v>
                </c:pt>
                <c:pt idx="2">
                  <c:v>40.473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low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tokens/s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Aggregate/2P2D Tail-latency Ratios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p99 TTFT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'04_Equal_ABBA'!$K$10:$K$11</c:f>
              <c:strCache>
                <c:ptCount val="2"/>
                <c:pt idx="0">
                  <c:v>Independent C64</c:v>
                </c:pt>
                <c:pt idx="1">
                  <c:v>Long OSL1024</c:v>
                </c:pt>
              </c:strCache>
            </c:strRef>
          </c:cat>
          <c:val>
            <c:numRef>
              <c:f>'04_Equal_ABBA'!$L$10:$L$11</c:f>
              <c:numCache>
                <c:formatCode>General</c:formatCode>
                <c:ptCount val="2"/>
                <c:pt idx="0">
                  <c:v>0.6704</c:v>
                </c:pt>
                <c:pt idx="1">
                  <c:v>1.8808</c:v>
                </c:pt>
              </c:numCache>
            </c:numRef>
          </c:val>
        </c:ser>
        <c:ser>
          <c:idx val="1"/>
          <c:order val="1"/>
          <c:tx>
            <c:v>p99 TPOT</c:v>
          </c:tx>
          <c:spPr>
            <a:solidFill>
              <a:srgbClr val="ED7D31"/>
            </a:solidFill>
            <a:ln>
              <a:noFill/>
            </a:ln>
          </c:spPr>
          <c:cat>
            <c:strRef>
              <c:f>'04_Equal_ABBA'!$K$10:$K$11</c:f>
              <c:strCache>
                <c:ptCount val="2"/>
                <c:pt idx="0">
                  <c:v>Independent C64</c:v>
                </c:pt>
                <c:pt idx="1">
                  <c:v>Long OSL1024</c:v>
                </c:pt>
              </c:strCache>
            </c:strRef>
          </c:cat>
          <c:val>
            <c:numRef>
              <c:f>'04_Equal_ABBA'!$M$10:$M$11</c:f>
              <c:numCache>
                <c:formatCode>General</c:formatCode>
                <c:ptCount val="2"/>
                <c:pt idx="0">
                  <c:v>3.1042</c:v>
                </c:pt>
                <c:pt idx="1">
                  <c:v>1.1735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2"/>
          <c:order val="2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'04_Equal_ABBA'!$K$10:$K$11</c:f>
              <c:strCache>
                <c:ptCount val="2"/>
                <c:pt idx="0">
                  <c:v>Independent C64</c:v>
                </c:pt>
                <c:pt idx="1">
                  <c:v>Long OSL1024</c:v>
                </c:pt>
              </c:strCache>
            </c:strRef>
          </c:cat>
          <c:val>
            <c:numRef>
              <c:f>'04_Equal_ABBA'!$N$10:$N$11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low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3.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Aggregate / 2P2D; lower is better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3P1D No-token-progress Interval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Attempt 1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'05_3P1D_Failure'!$A$5</c:f>
              <c:strCache>
                <c:ptCount val="1"/>
                <c:pt idx="0">
                  <c:v>No-token-progress interval</c:v>
                </c:pt>
              </c:strCache>
            </c:strRef>
          </c:cat>
          <c:val>
            <c:numRef>
              <c:f>'05_3P1D_Failure'!$B$5</c:f>
              <c:numCache>
                <c:formatCode>General</c:formatCode>
                <c:ptCount val="1"/>
                <c:pt idx="0">
                  <c:v>916</c:v>
                </c:pt>
              </c:numCache>
            </c:numRef>
          </c:val>
        </c:ser>
        <c:ser>
          <c:idx val="1"/>
          <c:order val="1"/>
          <c:tx>
            <c:v>Attempt 2</c:v>
          </c:tx>
          <c:spPr>
            <a:solidFill>
              <a:srgbClr val="ED7D31"/>
            </a:solidFill>
            <a:ln>
              <a:noFill/>
            </a:ln>
          </c:spPr>
          <c:cat>
            <c:strRef>
              <c:f>'05_3P1D_Failure'!$A$5</c:f>
              <c:strCache>
                <c:ptCount val="1"/>
                <c:pt idx="0">
                  <c:v>No-token-progress interval</c:v>
                </c:pt>
              </c:strCache>
            </c:strRef>
          </c:cat>
          <c:val>
            <c:numRef>
              <c:f>'05_3P1D_Failure'!$C$5</c:f>
              <c:numCache>
                <c:formatCode>General</c:formatCode>
                <c:ptCount val="1"/>
                <c:pt idx="0">
                  <c:v>913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ckLblPos val="low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3P1D Missing Response Completions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Attempt 1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'05_3P1D_Failure'!$A$6</c:f>
              <c:strCache>
                <c:ptCount val="1"/>
                <c:pt idx="0">
                  <c:v>Missing completions</c:v>
                </c:pt>
              </c:strCache>
            </c:strRef>
          </c:cat>
          <c:val>
            <c:numRef>
              <c:f>'05_3P1D_Failure'!$B$6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ser>
          <c:idx val="1"/>
          <c:order val="1"/>
          <c:tx>
            <c:v>Attempt 2</c:v>
          </c:tx>
          <c:spPr>
            <a:solidFill>
              <a:srgbClr val="ED7D31"/>
            </a:solidFill>
            <a:ln>
              <a:noFill/>
            </a:ln>
          </c:spPr>
          <c:cat>
            <c:strRef>
              <c:f>'05_3P1D_Failure'!$A$6</c:f>
              <c:strCache>
                <c:ptCount val="1"/>
                <c:pt idx="0">
                  <c:v>Missing completions</c:v>
                </c:pt>
              </c:strCache>
            </c:strRef>
          </c:cat>
          <c:val>
            <c:numRef>
              <c:f>'05_3P1D_Failure'!$C$6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low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lifecycles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1. Raw vs llm-d: Overall Difference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Delta</c:v>
          </c:tx>
          <c:spPr>
            <a:solidFill>
              <a:srgbClr val="4472C4"/>
            </a:solidFill>
            <a:ln>
              <a:noFill/>
            </a:ln>
          </c:spPr>
          <c:dLbls>
            <c:numFmt formatCode="0.0%" sourceLinked="0"/>
            <c:showVal val="1"/>
          </c:dLbls>
          <c:cat>
            <c:strRef>
              <c:f>'01_Raw_vs_llmd'!$O$3:$O$6</c:f>
              <c:strCache>
                <c:ptCount val="4"/>
                <c:pt idx="0">
                  <c:v>Output throughput</c:v>
                </c:pt>
                <c:pt idx="1">
                  <c:v>p99 TTFT</c:v>
                </c:pt>
                <c:pt idx="2">
                  <c:v>p99 TPOT</c:v>
                </c:pt>
                <c:pt idx="3">
                  <c:v>p99 E2E</c:v>
                </c:pt>
              </c:strCache>
            </c:strRef>
          </c:cat>
          <c:val>
            <c:numRef>
              <c:f>'01_Raw_vs_llmd'!$Q$3:$Q$6</c:f>
              <c:numCache>
                <c:formatCode>General</c:formatCode>
                <c:ptCount val="4"/>
                <c:pt idx="0">
                  <c:v>-0.005279999999999951</c:v>
                </c:pt>
                <c:pt idx="1">
                  <c:v>0.010159999999999947</c:v>
                </c:pt>
                <c:pt idx="2">
                  <c:v>0.005919999999999925</c:v>
                </c:pt>
                <c:pt idx="3">
                  <c:v>0.00770000000000004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'01_Raw_vs_llmd'!$O$3:$O$6</c:f>
              <c:strCache>
                <c:ptCount val="4"/>
                <c:pt idx="0">
                  <c:v>Output throughput</c:v>
                </c:pt>
                <c:pt idx="1">
                  <c:v>p99 TTFT</c:v>
                </c:pt>
                <c:pt idx="2">
                  <c:v>p99 TPOT</c:v>
                </c:pt>
                <c:pt idx="3">
                  <c:v>p99 E2E</c:v>
                </c:pt>
              </c:strCache>
            </c:strRef>
          </c:cat>
          <c:val>
            <c:numRef>
              <c:f>'01_Raw_vs_llmd'!$R$3:$R$6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low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0.06"/>
          <c:min val="-0.06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(llm-d / Raw) - 1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  <c:spPr>
        <a:ln>
          <a:solidFill>
            <a:srgbClr val="D9D9D9"/>
          </a:solidFill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2. Raw vs llm-d: Per-case Throughput Delta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Throughput delta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'01_Raw_vs_llmd'!$A$3:$A$26</c:f>
              <c:strCache>
                <c:ptCount val="24"/>
                <c:pt idx="0">
                  <c:v>I1K-O128-C1</c:v>
                </c:pt>
                <c:pt idx="1">
                  <c:v>I1K-O128-C8</c:v>
                </c:pt>
                <c:pt idx="2">
                  <c:v>I1K-O128-C32</c:v>
                </c:pt>
                <c:pt idx="3">
                  <c:v>I1K-O128-C64</c:v>
                </c:pt>
                <c:pt idx="4">
                  <c:v>I1K-O1K-C1</c:v>
                </c:pt>
                <c:pt idx="5">
                  <c:v>I1K-O1K-C8</c:v>
                </c:pt>
                <c:pt idx="6">
                  <c:v>I1K-O1K-C32</c:v>
                </c:pt>
                <c:pt idx="7">
                  <c:v>I1K-O1K-C64</c:v>
                </c:pt>
                <c:pt idx="8">
                  <c:v>I8K-O128-C1</c:v>
                </c:pt>
                <c:pt idx="9">
                  <c:v>I8K-O128-C8</c:v>
                </c:pt>
                <c:pt idx="10">
                  <c:v>I8K-O128-C32</c:v>
                </c:pt>
                <c:pt idx="11">
                  <c:v>I8K-O128-C64</c:v>
                </c:pt>
                <c:pt idx="12">
                  <c:v>I8K-O1K-C1</c:v>
                </c:pt>
                <c:pt idx="13">
                  <c:v>I8K-O1K-C8</c:v>
                </c:pt>
                <c:pt idx="14">
                  <c:v>I8K-O1K-C32</c:v>
                </c:pt>
                <c:pt idx="15">
                  <c:v>I8K-O1K-C64</c:v>
                </c:pt>
                <c:pt idx="16">
                  <c:v>I16K-O128-C1</c:v>
                </c:pt>
                <c:pt idx="17">
                  <c:v>I16K-O128-C8</c:v>
                </c:pt>
                <c:pt idx="18">
                  <c:v>I16K-O128-C32</c:v>
                </c:pt>
                <c:pt idx="19">
                  <c:v>I16K-O128-C64</c:v>
                </c:pt>
                <c:pt idx="20">
                  <c:v>I16K-O1K-C1</c:v>
                </c:pt>
                <c:pt idx="21">
                  <c:v>I16K-O1K-C8</c:v>
                </c:pt>
                <c:pt idx="22">
                  <c:v>I16K-O1K-C32</c:v>
                </c:pt>
                <c:pt idx="23">
                  <c:v>I16K-O1K-C64</c:v>
                </c:pt>
              </c:strCache>
            </c:strRef>
          </c:cat>
          <c:val>
            <c:numRef>
              <c:f>'01_Raw_vs_llmd'!$H$3:$H$26</c:f>
              <c:numCache>
                <c:formatCode>General</c:formatCode>
                <c:ptCount val="24"/>
                <c:pt idx="0">
                  <c:v>0.04704595185995619</c:v>
                </c:pt>
                <c:pt idx="1">
                  <c:v>0.01273069679849348</c:v>
                </c:pt>
                <c:pt idx="2">
                  <c:v>0.022437612109387217</c:v>
                </c:pt>
                <c:pt idx="3">
                  <c:v>0.0031535970716598527</c:v>
                </c:pt>
                <c:pt idx="4">
                  <c:v>-0.0005091649694501932</c:v>
                </c:pt>
                <c:pt idx="5">
                  <c:v>0.009694012134001673</c:v>
                </c:pt>
                <c:pt idx="6">
                  <c:v>-0.037782796769130655</c:v>
                </c:pt>
                <c:pt idx="7">
                  <c:v>-0.018622483910721632</c:v>
                </c:pt>
                <c:pt idx="8">
                  <c:v>0.010362694300518172</c:v>
                </c:pt>
                <c:pt idx="9">
                  <c:v>0.0016798656107510634</c:v>
                </c:pt>
                <c:pt idx="10">
                  <c:v>-0.001570210856886467</c:v>
                </c:pt>
                <c:pt idx="11">
                  <c:v>0.0</c:v>
                </c:pt>
                <c:pt idx="12">
                  <c:v>0.010503040353786686</c:v>
                </c:pt>
                <c:pt idx="13">
                  <c:v>-0.03718095910977659</c:v>
                </c:pt>
                <c:pt idx="14">
                  <c:v>-0.005247013238617981</c:v>
                </c:pt>
                <c:pt idx="15">
                  <c:v>-0.0007071024512885771</c:v>
                </c:pt>
                <c:pt idx="16">
                  <c:v>-0.02925809822361558</c:v>
                </c:pt>
                <c:pt idx="17">
                  <c:v>0.0010172939979653517</c:v>
                </c:pt>
                <c:pt idx="18">
                  <c:v>-0.0009950248756220859</c:v>
                </c:pt>
                <c:pt idx="19">
                  <c:v>0.0</c:v>
                </c:pt>
                <c:pt idx="20">
                  <c:v>-0.013832853025936731</c:v>
                </c:pt>
                <c:pt idx="21">
                  <c:v>-0.044103728941889075</c:v>
                </c:pt>
                <c:pt idx="22">
                  <c:v>-0.023180592991913773</c:v>
                </c:pt>
                <c:pt idx="23">
                  <c:v>0.00024715768660410475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'01_Raw_vs_llmd'!$A$3:$A$26</c:f>
              <c:strCache>
                <c:ptCount val="24"/>
                <c:pt idx="0">
                  <c:v>I1K-O128-C1</c:v>
                </c:pt>
                <c:pt idx="1">
                  <c:v>I1K-O128-C8</c:v>
                </c:pt>
                <c:pt idx="2">
                  <c:v>I1K-O128-C32</c:v>
                </c:pt>
                <c:pt idx="3">
                  <c:v>I1K-O128-C64</c:v>
                </c:pt>
                <c:pt idx="4">
                  <c:v>I1K-O1K-C1</c:v>
                </c:pt>
                <c:pt idx="5">
                  <c:v>I1K-O1K-C8</c:v>
                </c:pt>
                <c:pt idx="6">
                  <c:v>I1K-O1K-C32</c:v>
                </c:pt>
                <c:pt idx="7">
                  <c:v>I1K-O1K-C64</c:v>
                </c:pt>
                <c:pt idx="8">
                  <c:v>I8K-O128-C1</c:v>
                </c:pt>
                <c:pt idx="9">
                  <c:v>I8K-O128-C8</c:v>
                </c:pt>
                <c:pt idx="10">
                  <c:v>I8K-O128-C32</c:v>
                </c:pt>
                <c:pt idx="11">
                  <c:v>I8K-O128-C64</c:v>
                </c:pt>
                <c:pt idx="12">
                  <c:v>I8K-O1K-C1</c:v>
                </c:pt>
                <c:pt idx="13">
                  <c:v>I8K-O1K-C8</c:v>
                </c:pt>
                <c:pt idx="14">
                  <c:v>I8K-O1K-C32</c:v>
                </c:pt>
                <c:pt idx="15">
                  <c:v>I8K-O1K-C64</c:v>
                </c:pt>
                <c:pt idx="16">
                  <c:v>I16K-O128-C1</c:v>
                </c:pt>
                <c:pt idx="17">
                  <c:v>I16K-O128-C8</c:v>
                </c:pt>
                <c:pt idx="18">
                  <c:v>I16K-O128-C32</c:v>
                </c:pt>
                <c:pt idx="19">
                  <c:v>I16K-O128-C64</c:v>
                </c:pt>
                <c:pt idx="20">
                  <c:v>I16K-O1K-C1</c:v>
                </c:pt>
                <c:pt idx="21">
                  <c:v>I16K-O1K-C8</c:v>
                </c:pt>
                <c:pt idx="22">
                  <c:v>I16K-O1K-C32</c:v>
                </c:pt>
                <c:pt idx="23">
                  <c:v>I16K-O1K-C64</c:v>
                </c:pt>
              </c:strCache>
            </c:strRef>
          </c:cat>
          <c:val>
            <c:numRef>
              <c:f>'01_Raw_vs_llmd'!$M$3:$M$26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0.06"/>
          <c:min val="-0.06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(llm-d / Raw) - 1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  <c:spPr>
        <a:ln>
          <a:solidFill>
            <a:srgbClr val="D9D9D9"/>
          </a:solidFill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3. Aggregate Relative Advantage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Aggregate relative advantage</c:v>
          </c:tx>
          <c:spPr>
            <a:solidFill>
              <a:srgbClr val="4472C4"/>
            </a:solidFill>
            <a:ln>
              <a:noFill/>
            </a:ln>
          </c:spPr>
          <c:dLbls>
            <c:numFmt formatCode="0.00x" sourceLinked="0"/>
            <c:showVal val="1"/>
          </c:dLbls>
          <c:cat>
            <c:strRef>
              <c:f>'02_Agg_vs_1P1D'!$M$3:$M$6</c:f>
              <c:strCache>
                <c:ptCount val="4"/>
                <c:pt idx="0">
                  <c:v>Output throughput</c:v>
                </c:pt>
                <c:pt idx="1">
                  <c:v>p99 TTFT</c:v>
                </c:pt>
                <c:pt idx="2">
                  <c:v>p99 TPOT</c:v>
                </c:pt>
                <c:pt idx="3">
                  <c:v>p99 E2E</c:v>
                </c:pt>
              </c:strCache>
            </c:strRef>
          </c:cat>
          <c:val>
            <c:numRef>
              <c:f>'02_Agg_vs_1P1D'!$O$3:$O$6</c:f>
              <c:numCache>
                <c:formatCode>General</c:formatCode>
                <c:ptCount val="4"/>
                <c:pt idx="0">
                  <c:v>1.2592</c:v>
                </c:pt>
                <c:pt idx="1">
                  <c:v>1.477104874446086</c:v>
                </c:pt>
                <c:pt idx="2">
                  <c:v>0.517196793379881</c:v>
                </c:pt>
                <c:pt idx="3">
                  <c:v>1.165908825929812</c:v>
                </c:pt>
              </c:numCache>
            </c:numRef>
          </c:val>
        </c:ser>
        <c:axId val="50130001"/>
        <c:axId val="5013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'02_Agg_vs_1P1D'!$M$3:$M$6</c:f>
              <c:strCache>
                <c:ptCount val="4"/>
                <c:pt idx="0">
                  <c:v>Output throughput</c:v>
                </c:pt>
                <c:pt idx="1">
                  <c:v>p99 TTFT</c:v>
                </c:pt>
                <c:pt idx="2">
                  <c:v>p99 TPOT</c:v>
                </c:pt>
                <c:pt idx="3">
                  <c:v>p99 E2E</c:v>
                </c:pt>
              </c:strCache>
            </c:strRef>
          </c:cat>
          <c:val>
            <c:numRef>
              <c:f>'02_Agg_vs_1P1D'!$P$3:$P$6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low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1.7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&gt;1 favors Aggregate; latency inverted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  <c:spPr>
        <a:ln>
          <a:solidFill>
            <a:srgbClr val="D9D9D9"/>
          </a:solidFill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4. Aggregate/P-D: Per-case TTFT and TPOT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p99 TTFT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'02_Agg_vs_1P1D'!$A$3:$A$12</c:f>
              <c:strCache>
                <c:ptCount val="10"/>
                <c:pt idx="0">
                  <c:v>I1K-O128-C1</c:v>
                </c:pt>
                <c:pt idx="1">
                  <c:v>I1K-O128-C8</c:v>
                </c:pt>
                <c:pt idx="2">
                  <c:v>I8K-O128-C1</c:v>
                </c:pt>
                <c:pt idx="3">
                  <c:v>I8K-O128-C8</c:v>
                </c:pt>
                <c:pt idx="4">
                  <c:v>I8K-O128-C64</c:v>
                </c:pt>
                <c:pt idx="5">
                  <c:v>I8K-O1K-C64</c:v>
                </c:pt>
                <c:pt idx="6">
                  <c:v>I16K-O128-C8</c:v>
                </c:pt>
                <c:pt idx="7">
                  <c:v>I16K-O128-C32</c:v>
                </c:pt>
                <c:pt idx="8">
                  <c:v>I16K-O128-C64</c:v>
                </c:pt>
                <c:pt idx="9">
                  <c:v>I16K-O1K-C64</c:v>
                </c:pt>
              </c:strCache>
            </c:strRef>
          </c:cat>
          <c:val>
            <c:numRef>
              <c:f>'02_Agg_vs_1P1D'!$H$3:$H$12</c:f>
              <c:numCache>
                <c:formatCode>General</c:formatCode>
                <c:ptCount val="10"/>
                <c:pt idx="0">
                  <c:v>0.797</c:v>
                </c:pt>
                <c:pt idx="1">
                  <c:v>0.523</c:v>
                </c:pt>
                <c:pt idx="2">
                  <c:v>0.9320000000000001</c:v>
                </c:pt>
                <c:pt idx="3">
                  <c:v>0.532</c:v>
                </c:pt>
                <c:pt idx="4">
                  <c:v>0.643</c:v>
                </c:pt>
                <c:pt idx="5">
                  <c:v>0.64</c:v>
                </c:pt>
                <c:pt idx="6">
                  <c:v>0.641</c:v>
                </c:pt>
                <c:pt idx="7">
                  <c:v>0.673</c:v>
                </c:pt>
                <c:pt idx="8">
                  <c:v>0.658</c:v>
                </c:pt>
                <c:pt idx="9">
                  <c:v>0.836</c:v>
                </c:pt>
              </c:numCache>
            </c:numRef>
          </c:val>
        </c:ser>
        <c:ser>
          <c:idx val="1"/>
          <c:order val="1"/>
          <c:tx>
            <c:v>p99 TPOT</c:v>
          </c:tx>
          <c:spPr>
            <a:solidFill>
              <a:srgbClr val="ED7D31"/>
            </a:solidFill>
            <a:ln>
              <a:noFill/>
            </a:ln>
          </c:spPr>
          <c:cat>
            <c:strRef>
              <c:f>'02_Agg_vs_1P1D'!$A$3:$A$12</c:f>
              <c:strCache>
                <c:ptCount val="10"/>
                <c:pt idx="0">
                  <c:v>I1K-O128-C1</c:v>
                </c:pt>
                <c:pt idx="1">
                  <c:v>I1K-O128-C8</c:v>
                </c:pt>
                <c:pt idx="2">
                  <c:v>I8K-O128-C1</c:v>
                </c:pt>
                <c:pt idx="3">
                  <c:v>I8K-O128-C8</c:v>
                </c:pt>
                <c:pt idx="4">
                  <c:v>I8K-O128-C64</c:v>
                </c:pt>
                <c:pt idx="5">
                  <c:v>I8K-O1K-C64</c:v>
                </c:pt>
                <c:pt idx="6">
                  <c:v>I16K-O128-C8</c:v>
                </c:pt>
                <c:pt idx="7">
                  <c:v>I16K-O128-C32</c:v>
                </c:pt>
                <c:pt idx="8">
                  <c:v>I16K-O128-C64</c:v>
                </c:pt>
                <c:pt idx="9">
                  <c:v>I16K-O1K-C64</c:v>
                </c:pt>
              </c:strCache>
            </c:strRef>
          </c:cat>
          <c:val>
            <c:numRef>
              <c:f>'02_Agg_vs_1P1D'!$I$3:$I$12</c:f>
              <c:numCache>
                <c:formatCode>General</c:formatCode>
                <c:ptCount val="10"/>
                <c:pt idx="0">
                  <c:v>1.032</c:v>
                </c:pt>
                <c:pt idx="1">
                  <c:v>1.228</c:v>
                </c:pt>
                <c:pt idx="2">
                  <c:v>0.896</c:v>
                </c:pt>
                <c:pt idx="3">
                  <c:v>2.306</c:v>
                </c:pt>
                <c:pt idx="4">
                  <c:v>3.562</c:v>
                </c:pt>
                <c:pt idx="5">
                  <c:v>1.286</c:v>
                </c:pt>
                <c:pt idx="6">
                  <c:v>3.728</c:v>
                </c:pt>
                <c:pt idx="7">
                  <c:v>3.732</c:v>
                </c:pt>
                <c:pt idx="8">
                  <c:v>3.689</c:v>
                </c:pt>
                <c:pt idx="9">
                  <c:v>1.185</c:v>
                </c:pt>
              </c:numCache>
            </c:numRef>
          </c:val>
        </c:ser>
        <c:axId val="50140001"/>
        <c:axId val="50140002"/>
      </c:barChart>
      <c:lineChart>
        <c:grouping val="standard"/>
        <c:ser>
          <c:idx val="2"/>
          <c:order val="2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'02_Agg_vs_1P1D'!$A$3:$A$12</c:f>
              <c:strCache>
                <c:ptCount val="10"/>
                <c:pt idx="0">
                  <c:v>I1K-O128-C1</c:v>
                </c:pt>
                <c:pt idx="1">
                  <c:v>I1K-O128-C8</c:v>
                </c:pt>
                <c:pt idx="2">
                  <c:v>I8K-O128-C1</c:v>
                </c:pt>
                <c:pt idx="3">
                  <c:v>I8K-O128-C8</c:v>
                </c:pt>
                <c:pt idx="4">
                  <c:v>I8K-O128-C64</c:v>
                </c:pt>
                <c:pt idx="5">
                  <c:v>I8K-O1K-C64</c:v>
                </c:pt>
                <c:pt idx="6">
                  <c:v>I16K-O128-C8</c:v>
                </c:pt>
                <c:pt idx="7">
                  <c:v>I16K-O128-C32</c:v>
                </c:pt>
                <c:pt idx="8">
                  <c:v>I16K-O128-C64</c:v>
                </c:pt>
                <c:pt idx="9">
                  <c:v>I16K-O1K-C64</c:v>
                </c:pt>
              </c:strCache>
            </c:strRef>
          </c:cat>
          <c:val>
            <c:numRef>
              <c:f>'02_Agg_vs_1P1D'!$K$3:$K$12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ckLblPos val="low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4.1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Aggregate / P-D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5. 1P3D/2P2D Throughput by OSL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Throughput</c:v>
          </c:tx>
          <c:spPr>
            <a:solidFill>
              <a:srgbClr val="70AD47"/>
            </a:solidFill>
            <a:ln>
              <a:noFill/>
            </a:ln>
          </c:spPr>
          <c:cat>
            <c:numRef>
              <c:f>'03_2P2D_vs_1P3D'!$N$6:$N$7</c:f>
              <c:numCache>
                <c:formatCode>General</c:formatCode>
                <c:ptCount val="2"/>
                <c:pt idx="0">
                  <c:v>128</c:v>
                </c:pt>
                <c:pt idx="1">
                  <c:v>1024</c:v>
                </c:pt>
              </c:numCache>
            </c:numRef>
          </c:cat>
          <c:val>
            <c:numRef>
              <c:f>'03_2P2D_vs_1P3D'!$O$6:$O$7</c:f>
              <c:numCache>
                <c:formatCode>General</c:formatCode>
                <c:ptCount val="2"/>
                <c:pt idx="0">
                  <c:v>0.66</c:v>
                </c:pt>
                <c:pt idx="1">
                  <c:v>1.0624</c:v>
                </c:pt>
              </c:numCache>
            </c:numRef>
          </c:val>
        </c:ser>
        <c:axId val="50150001"/>
        <c:axId val="5015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numRef>
              <c:f>'03_2P2D_vs_1P3D'!$N$6:$N$7</c:f>
              <c:numCache>
                <c:formatCode>General</c:formatCode>
                <c:ptCount val="2"/>
                <c:pt idx="0">
                  <c:v>128</c:v>
                </c:pt>
                <c:pt idx="1">
                  <c:v>1024</c:v>
                </c:pt>
              </c:numCache>
            </c:numRef>
          </c:cat>
          <c:val>
            <c:numRef>
              <c:f>'03_2P2D_vs_1P3D'!$S$6:$S$7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low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1.15"/>
          <c:min val="0.5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1P3D / 2P2D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6. 1P3D/2P2D Throughput by Concurrency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Throughput</c:v>
          </c:tx>
          <c:spPr>
            <a:solidFill>
              <a:srgbClr val="70AD47"/>
            </a:solidFill>
            <a:ln>
              <a:noFill/>
            </a:ln>
          </c:spPr>
          <c:cat>
            <c:numRef>
              <c:f>'03_2P2D_vs_1P3D'!$N$8:$N$11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'03_2P2D_vs_1P3D'!$O$8:$O$11</c:f>
              <c:numCache>
                <c:formatCode>General</c:formatCode>
                <c:ptCount val="4"/>
                <c:pt idx="0">
                  <c:v>0.9883</c:v>
                </c:pt>
                <c:pt idx="1">
                  <c:v>0.8089</c:v>
                </c:pt>
                <c:pt idx="2">
                  <c:v>0.8145</c:v>
                </c:pt>
                <c:pt idx="3">
                  <c:v>0.7552</c:v>
                </c:pt>
              </c:numCache>
            </c:numRef>
          </c:val>
        </c:ser>
        <c:axId val="50160001"/>
        <c:axId val="50160002"/>
      </c:barChart>
      <c:lineChart>
        <c:grouping val="standard"/>
        <c:ser>
          <c:idx val="1"/>
          <c:order val="1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numRef>
              <c:f>'03_2P2D_vs_1P3D'!$N$8:$N$11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'03_2P2D_vs_1P3D'!$S$8:$S$11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numFmt formatCode="General" sourceLinked="1"/>
        <c:tickLblPos val="low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1.1"/>
          <c:min val="0.5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1P3D / 2P2D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7. Equal-resource Throughput by Workload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Aggregate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'04_Equal_ABBA'!$K$4:$K$6</c:f>
              <c:strCache>
                <c:ptCount val="3"/>
                <c:pt idx="0">
                  <c:v>Independent C64</c:v>
                </c:pt>
                <c:pt idx="1">
                  <c:v>Shared-prefix W2</c:v>
                </c:pt>
                <c:pt idx="2">
                  <c:v>Long OSL1024</c:v>
                </c:pt>
              </c:strCache>
            </c:strRef>
          </c:cat>
          <c:val>
            <c:numRef>
              <c:f>'04_Equal_ABBA'!$L$4:$L$6</c:f>
              <c:numCache>
                <c:formatCode>General</c:formatCode>
                <c:ptCount val="3"/>
                <c:pt idx="0">
                  <c:v>133.675</c:v>
                </c:pt>
                <c:pt idx="1">
                  <c:v>141.986</c:v>
                </c:pt>
                <c:pt idx="2">
                  <c:v>40.479</c:v>
                </c:pt>
              </c:numCache>
            </c:numRef>
          </c:val>
        </c:ser>
        <c:ser>
          <c:idx val="1"/>
          <c:order val="1"/>
          <c:tx>
            <c:v>2P2D</c:v>
          </c:tx>
          <c:spPr>
            <a:solidFill>
              <a:srgbClr val="ED7D31"/>
            </a:solidFill>
            <a:ln>
              <a:noFill/>
            </a:ln>
          </c:spPr>
          <c:cat>
            <c:strRef>
              <c:f>'04_Equal_ABBA'!$K$4:$K$6</c:f>
              <c:strCache>
                <c:ptCount val="3"/>
                <c:pt idx="0">
                  <c:v>Independent C64</c:v>
                </c:pt>
                <c:pt idx="1">
                  <c:v>Shared-prefix W2</c:v>
                </c:pt>
                <c:pt idx="2">
                  <c:v>Long OSL1024</c:v>
                </c:pt>
              </c:strCache>
            </c:strRef>
          </c:cat>
          <c:val>
            <c:numRef>
              <c:f>'04_Equal_ABBA'!$M$4:$M$6</c:f>
              <c:numCache>
                <c:formatCode>General</c:formatCode>
                <c:ptCount val="3"/>
                <c:pt idx="0">
                  <c:v>87.571</c:v>
                </c:pt>
                <c:pt idx="1">
                  <c:v>135.15</c:v>
                </c:pt>
                <c:pt idx="2">
                  <c:v>40.473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ckLblPos val="low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tokens/s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8. Aggregate/2P2D Tail-latency Ratios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p99 TTFT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'04_Equal_ABBA'!$K$10:$K$11</c:f>
              <c:strCache>
                <c:ptCount val="2"/>
                <c:pt idx="0">
                  <c:v>Independent C64</c:v>
                </c:pt>
                <c:pt idx="1">
                  <c:v>Long OSL1024</c:v>
                </c:pt>
              </c:strCache>
            </c:strRef>
          </c:cat>
          <c:val>
            <c:numRef>
              <c:f>'04_Equal_ABBA'!$L$10:$L$11</c:f>
              <c:numCache>
                <c:formatCode>General</c:formatCode>
                <c:ptCount val="2"/>
                <c:pt idx="0">
                  <c:v>0.6704</c:v>
                </c:pt>
                <c:pt idx="1">
                  <c:v>1.8808</c:v>
                </c:pt>
              </c:numCache>
            </c:numRef>
          </c:val>
        </c:ser>
        <c:ser>
          <c:idx val="1"/>
          <c:order val="1"/>
          <c:tx>
            <c:v>p99 TPOT</c:v>
          </c:tx>
          <c:spPr>
            <a:solidFill>
              <a:srgbClr val="ED7D31"/>
            </a:solidFill>
            <a:ln>
              <a:noFill/>
            </a:ln>
          </c:spPr>
          <c:cat>
            <c:strRef>
              <c:f>'04_Equal_ABBA'!$K$10:$K$11</c:f>
              <c:strCache>
                <c:ptCount val="2"/>
                <c:pt idx="0">
                  <c:v>Independent C64</c:v>
                </c:pt>
                <c:pt idx="1">
                  <c:v>Long OSL1024</c:v>
                </c:pt>
              </c:strCache>
            </c:strRef>
          </c:cat>
          <c:val>
            <c:numRef>
              <c:f>'04_Equal_ABBA'!$M$10:$M$11</c:f>
              <c:numCache>
                <c:formatCode>General</c:formatCode>
                <c:ptCount val="2"/>
                <c:pt idx="0">
                  <c:v>3.1042</c:v>
                </c:pt>
                <c:pt idx="1">
                  <c:v>1.1735</c:v>
                </c:pt>
              </c:numCache>
            </c:numRef>
          </c:val>
        </c:ser>
        <c:axId val="50180001"/>
        <c:axId val="50180002"/>
      </c:barChart>
      <c:lineChart>
        <c:grouping val="standard"/>
        <c:ser>
          <c:idx val="2"/>
          <c:order val="2"/>
          <c:tx>
            <c:v>Reference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'04_Equal_ABBA'!$K$10:$K$11</c:f>
              <c:strCache>
                <c:ptCount val="2"/>
                <c:pt idx="0">
                  <c:v>Independent C64</c:v>
                </c:pt>
                <c:pt idx="1">
                  <c:v>Long OSL1024</c:v>
                </c:pt>
              </c:strCache>
            </c:strRef>
          </c:cat>
          <c:val>
            <c:numRef>
              <c:f>'04_Equal_ABBA'!$N$10:$N$11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ckLblPos val="low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3.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Aggregate / 2P2D; lower is better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Relationship Id="rId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20</xdr:row>
      <xdr:rowOff>0</xdr:rowOff>
    </xdr:from>
    <xdr:to>
      <xdr:col>22</xdr:col>
      <xdr:colOff>266700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39</xdr:row>
      <xdr:rowOff>0</xdr:rowOff>
    </xdr:from>
    <xdr:to>
      <xdr:col>22</xdr:col>
      <xdr:colOff>266700</xdr:colOff>
      <xdr:row>57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10</xdr:row>
      <xdr:rowOff>0</xdr:rowOff>
    </xdr:from>
    <xdr:to>
      <xdr:col>22</xdr:col>
      <xdr:colOff>381000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22</xdr:col>
      <xdr:colOff>381000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26</xdr:row>
      <xdr:rowOff>0</xdr:rowOff>
    </xdr:from>
    <xdr:to>
      <xdr:col>19</xdr:col>
      <xdr:colOff>581025</xdr:colOff>
      <xdr:row>44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45</xdr:row>
      <xdr:rowOff>0</xdr:rowOff>
    </xdr:from>
    <xdr:to>
      <xdr:col>19</xdr:col>
      <xdr:colOff>581025</xdr:colOff>
      <xdr:row>63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24</xdr:row>
      <xdr:rowOff>0</xdr:rowOff>
    </xdr:from>
    <xdr:to>
      <xdr:col>16</xdr:col>
      <xdr:colOff>133350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43</xdr:row>
      <xdr:rowOff>0</xdr:rowOff>
    </xdr:from>
    <xdr:to>
      <xdr:col>16</xdr:col>
      <xdr:colOff>133350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504825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19</xdr:col>
      <xdr:colOff>381000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542925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16</xdr:col>
      <xdr:colOff>542925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542925</xdr:colOff>
      <xdr:row>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542925</xdr:colOff>
      <xdr:row>40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542925</xdr:colOff>
      <xdr:row>59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542925</xdr:colOff>
      <xdr:row>59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7</xdr:col>
      <xdr:colOff>542925</xdr:colOff>
      <xdr:row>78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16</xdr:col>
      <xdr:colOff>542925</xdr:colOff>
      <xdr:row>78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yao531441/llm-d/blob/xpu-whitepaper/whitepaper/pd/qwen3-32b-intel-b60-benchmark.m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showGridLines="0" tabSelected="1" workbookViewId="0"/>
  </sheetViews>
  <sheetFormatPr defaultRowHeight="15"/>
  <cols>
    <col min="1" max="1" width="24.7109375" customWidth="1"/>
    <col min="2" max="2" width="95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6" spans="1:2">
      <c r="A6" s="4" t="s">
        <v>3</v>
      </c>
      <c r="B6" s="5" t="s">
        <v>4</v>
      </c>
    </row>
    <row r="7" spans="1:2">
      <c r="A7" s="4" t="s">
        <v>5</v>
      </c>
      <c r="B7" s="5" t="s">
        <v>6</v>
      </c>
    </row>
    <row r="8" spans="1:2">
      <c r="A8" s="4" t="s">
        <v>7</v>
      </c>
      <c r="B8" s="5" t="s">
        <v>8</v>
      </c>
    </row>
    <row r="9" spans="1:2">
      <c r="A9" s="4" t="s">
        <v>9</v>
      </c>
      <c r="B9" s="5" t="s">
        <v>10</v>
      </c>
    </row>
    <row r="10" spans="1:2">
      <c r="A10" s="4" t="s">
        <v>11</v>
      </c>
      <c r="B10" s="5" t="s">
        <v>12</v>
      </c>
    </row>
    <row r="11" spans="1:2">
      <c r="A11" s="4" t="s">
        <v>13</v>
      </c>
      <c r="B11" s="5" t="s">
        <v>14</v>
      </c>
    </row>
    <row r="12" spans="1:2">
      <c r="A12" s="4" t="s">
        <v>15</v>
      </c>
      <c r="B12" s="5" t="s">
        <v>16</v>
      </c>
    </row>
    <row r="13" spans="1:2">
      <c r="A13" s="4" t="s">
        <v>17</v>
      </c>
      <c r="B13" s="5" t="s">
        <v>18</v>
      </c>
    </row>
    <row r="14" spans="1:2">
      <c r="A14" s="4" t="s">
        <v>19</v>
      </c>
      <c r="B14" s="5" t="s">
        <v>20</v>
      </c>
    </row>
    <row r="15" spans="1:2">
      <c r="A15" s="4" t="s">
        <v>21</v>
      </c>
      <c r="B15" s="5" t="s">
        <v>22</v>
      </c>
    </row>
    <row r="17" spans="1:2">
      <c r="A17" s="2" t="s">
        <v>23</v>
      </c>
    </row>
    <row r="18" spans="1:2">
      <c r="A18" s="4" t="s">
        <v>24</v>
      </c>
      <c r="B18" s="5" t="s">
        <v>25</v>
      </c>
    </row>
    <row r="19" spans="1:2">
      <c r="A19" s="4" t="s">
        <v>26</v>
      </c>
      <c r="B19" s="5" t="s">
        <v>27</v>
      </c>
    </row>
    <row r="20" spans="1:2">
      <c r="A20" s="4" t="s">
        <v>28</v>
      </c>
      <c r="B20" s="5" t="s">
        <v>29</v>
      </c>
    </row>
    <row r="21" spans="1:2">
      <c r="A21" s="4" t="s">
        <v>30</v>
      </c>
      <c r="B21" s="5" t="s">
        <v>31</v>
      </c>
    </row>
    <row r="22" spans="1:2">
      <c r="A22" s="4" t="s">
        <v>32</v>
      </c>
      <c r="B22" s="5" t="s">
        <v>33</v>
      </c>
    </row>
    <row r="23" spans="1:2">
      <c r="A23" s="4" t="s">
        <v>34</v>
      </c>
      <c r="B23" s="5" t="s">
        <v>35</v>
      </c>
    </row>
  </sheetData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7.7109375" customWidth="1"/>
    <col min="2" max="4" width="9.7109375" customWidth="1"/>
    <col min="5" max="5" width="11.7109375" customWidth="1"/>
    <col min="6" max="13" width="18.7109375" customWidth="1"/>
    <col min="15" max="15" width="12.7109375" customWidth="1"/>
    <col min="16" max="16" width="10.7109375" customWidth="1"/>
    <col min="17" max="17" width="8.7109375" customWidth="1"/>
    <col min="18" max="18" width="13.7109375" customWidth="1"/>
    <col min="19" max="21" width="12.7109375" customWidth="1"/>
  </cols>
  <sheetData>
    <row r="1" spans="1:21">
      <c r="A1" s="1" t="s">
        <v>36</v>
      </c>
    </row>
    <row r="2" spans="1:21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O2" s="4" t="s">
        <v>76</v>
      </c>
      <c r="P2" s="4" t="s">
        <v>77</v>
      </c>
      <c r="Q2" s="4" t="s">
        <v>78</v>
      </c>
      <c r="R2" s="4" t="s">
        <v>49</v>
      </c>
    </row>
    <row r="3" spans="1:21">
      <c r="A3" s="5" t="s">
        <v>50</v>
      </c>
      <c r="B3" s="6">
        <v>1024</v>
      </c>
      <c r="C3" s="6">
        <v>128</v>
      </c>
      <c r="D3" s="6">
        <v>1</v>
      </c>
      <c r="E3" s="5" t="s">
        <v>51</v>
      </c>
      <c r="F3" s="7">
        <v>18.28</v>
      </c>
      <c r="G3" s="7">
        <v>19.14</v>
      </c>
      <c r="H3" s="8">
        <f>G3/F3-1</f>
        <v>0.04704595185995619</v>
      </c>
      <c r="I3" s="7">
        <v>0.42</v>
      </c>
      <c r="J3" s="7">
        <v>0.42</v>
      </c>
      <c r="K3" s="7">
        <v>53.83</v>
      </c>
      <c r="L3" s="7">
        <v>50.45</v>
      </c>
      <c r="M3" s="8">
        <v>0</v>
      </c>
      <c r="O3" s="5" t="s">
        <v>79</v>
      </c>
      <c r="P3" s="9">
        <v>0.99472</v>
      </c>
      <c r="Q3" s="8">
        <f>P3-1</f>
        <v>-0.005279999999999951</v>
      </c>
      <c r="R3" s="8">
        <v>0</v>
      </c>
    </row>
    <row r="4" spans="1:21">
      <c r="A4" s="5" t="s">
        <v>52</v>
      </c>
      <c r="B4" s="6">
        <v>1024</v>
      </c>
      <c r="C4" s="6">
        <v>128</v>
      </c>
      <c r="D4" s="6">
        <v>8</v>
      </c>
      <c r="E4" s="5" t="s">
        <v>51</v>
      </c>
      <c r="F4" s="7">
        <v>132.75</v>
      </c>
      <c r="G4" s="7">
        <v>134.44</v>
      </c>
      <c r="H4" s="8">
        <f>G4/F4-1</f>
        <v>0.01273069679849348</v>
      </c>
      <c r="I4" s="7">
        <v>2.78</v>
      </c>
      <c r="J4" s="7">
        <v>2.77</v>
      </c>
      <c r="K4" s="7">
        <v>50.59</v>
      </c>
      <c r="L4" s="7">
        <v>50.04</v>
      </c>
      <c r="M4" s="8">
        <v>0</v>
      </c>
      <c r="O4" s="5" t="s">
        <v>80</v>
      </c>
      <c r="P4" s="9">
        <v>1.01016</v>
      </c>
      <c r="Q4" s="8">
        <f>P4-1</f>
        <v>0.010159999999999947</v>
      </c>
      <c r="R4" s="8">
        <v>0</v>
      </c>
    </row>
    <row r="5" spans="1:21">
      <c r="A5" s="5" t="s">
        <v>53</v>
      </c>
      <c r="B5" s="6">
        <v>1024</v>
      </c>
      <c r="C5" s="6">
        <v>128</v>
      </c>
      <c r="D5" s="6">
        <v>32</v>
      </c>
      <c r="E5" s="5" t="s">
        <v>54</v>
      </c>
      <c r="F5" s="7">
        <v>317.77</v>
      </c>
      <c r="G5" s="7">
        <v>324.9</v>
      </c>
      <c r="H5" s="8">
        <f>G5/F5-1</f>
        <v>0.022437612109387217</v>
      </c>
      <c r="I5" s="7">
        <v>10.36</v>
      </c>
      <c r="J5" s="7">
        <v>10.4</v>
      </c>
      <c r="K5" s="7">
        <v>57.82</v>
      </c>
      <c r="L5" s="7">
        <v>65.90000000000001</v>
      </c>
      <c r="M5" s="8">
        <v>0</v>
      </c>
      <c r="O5" s="5" t="s">
        <v>81</v>
      </c>
      <c r="P5" s="9">
        <v>1.00592</v>
      </c>
      <c r="Q5" s="8">
        <f>P5-1</f>
        <v>0.005919999999999925</v>
      </c>
      <c r="R5" s="8">
        <v>0</v>
      </c>
    </row>
    <row r="6" spans="1:21">
      <c r="A6" s="5" t="s">
        <v>55</v>
      </c>
      <c r="B6" s="6">
        <v>1024</v>
      </c>
      <c r="C6" s="6">
        <v>128</v>
      </c>
      <c r="D6" s="6">
        <v>64</v>
      </c>
      <c r="E6" s="5" t="s">
        <v>54</v>
      </c>
      <c r="F6" s="7">
        <v>355.15</v>
      </c>
      <c r="G6" s="7">
        <v>356.27</v>
      </c>
      <c r="H6" s="8">
        <f>G6/F6-1</f>
        <v>0.0031535970716598527</v>
      </c>
      <c r="I6" s="7">
        <v>20.56</v>
      </c>
      <c r="J6" s="7">
        <v>20.64</v>
      </c>
      <c r="K6" s="7">
        <v>56.35</v>
      </c>
      <c r="L6" s="7">
        <v>61.58</v>
      </c>
      <c r="M6" s="8">
        <v>0</v>
      </c>
      <c r="O6" s="5" t="s">
        <v>82</v>
      </c>
      <c r="P6" s="9">
        <v>1.0077</v>
      </c>
      <c r="Q6" s="8">
        <f>P6-1</f>
        <v>0.00770000000000004</v>
      </c>
      <c r="R6" s="8">
        <v>0</v>
      </c>
    </row>
    <row r="7" spans="1:21">
      <c r="A7" s="5" t="s">
        <v>56</v>
      </c>
      <c r="B7" s="6">
        <v>1024</v>
      </c>
      <c r="C7" s="6">
        <v>1024</v>
      </c>
      <c r="D7" s="6">
        <v>1</v>
      </c>
      <c r="E7" s="5" t="s">
        <v>54</v>
      </c>
      <c r="F7" s="7">
        <v>19.64</v>
      </c>
      <c r="G7" s="7">
        <v>19.63</v>
      </c>
      <c r="H7" s="8">
        <f>G7/F7-1</f>
        <v>-0.0005091649694501932</v>
      </c>
      <c r="I7" s="7">
        <v>0.49</v>
      </c>
      <c r="J7" s="7">
        <v>0.52</v>
      </c>
      <c r="K7" s="7">
        <v>51.84</v>
      </c>
      <c r="L7" s="7">
        <v>51.99</v>
      </c>
      <c r="M7" s="8">
        <v>0</v>
      </c>
    </row>
    <row r="8" spans="1:21">
      <c r="A8" s="5" t="s">
        <v>57</v>
      </c>
      <c r="B8" s="6">
        <v>1024</v>
      </c>
      <c r="C8" s="6">
        <v>1024</v>
      </c>
      <c r="D8" s="6">
        <v>8</v>
      </c>
      <c r="E8" s="5" t="s">
        <v>54</v>
      </c>
      <c r="F8" s="7">
        <v>151.64</v>
      </c>
      <c r="G8" s="7">
        <v>153.11</v>
      </c>
      <c r="H8" s="8">
        <f>G8/F8-1</f>
        <v>0.009694012134001673</v>
      </c>
      <c r="I8" s="7">
        <v>2.87</v>
      </c>
      <c r="J8" s="7">
        <v>2.89</v>
      </c>
      <c r="K8" s="7">
        <v>52.27</v>
      </c>
      <c r="L8" s="7">
        <v>51.37</v>
      </c>
      <c r="M8" s="8">
        <v>0</v>
      </c>
    </row>
    <row r="9" spans="1:21">
      <c r="A9" s="5" t="s">
        <v>58</v>
      </c>
      <c r="B9" s="6">
        <v>1024</v>
      </c>
      <c r="C9" s="6">
        <v>1024</v>
      </c>
      <c r="D9" s="6">
        <v>32</v>
      </c>
      <c r="E9" s="5" t="s">
        <v>54</v>
      </c>
      <c r="F9" s="7">
        <v>522.46</v>
      </c>
      <c r="G9" s="7">
        <v>502.72</v>
      </c>
      <c r="H9" s="8">
        <f>G9/F9-1</f>
        <v>-0.037782796769130655</v>
      </c>
      <c r="I9" s="7">
        <v>10.4</v>
      </c>
      <c r="J9" s="7">
        <v>10.41</v>
      </c>
      <c r="K9" s="7">
        <v>57.99</v>
      </c>
      <c r="L9" s="7">
        <v>60.51</v>
      </c>
      <c r="M9" s="8">
        <v>0</v>
      </c>
      <c r="O9" s="4" t="s">
        <v>83</v>
      </c>
      <c r="P9" s="4" t="s">
        <v>84</v>
      </c>
      <c r="Q9" s="4" t="s">
        <v>85</v>
      </c>
      <c r="R9" s="4" t="s">
        <v>5</v>
      </c>
      <c r="S9" s="4" t="s">
        <v>80</v>
      </c>
      <c r="T9" s="4" t="s">
        <v>81</v>
      </c>
      <c r="U9" s="4" t="s">
        <v>82</v>
      </c>
    </row>
    <row r="10" spans="1:21">
      <c r="A10" s="5" t="s">
        <v>59</v>
      </c>
      <c r="B10" s="6">
        <v>1024</v>
      </c>
      <c r="C10" s="6">
        <v>1024</v>
      </c>
      <c r="D10" s="6">
        <v>64</v>
      </c>
      <c r="E10" s="5" t="s">
        <v>54</v>
      </c>
      <c r="F10" s="7">
        <v>511.21</v>
      </c>
      <c r="G10" s="7">
        <v>501.69</v>
      </c>
      <c r="H10" s="8">
        <f>G10/F10-1</f>
        <v>-0.018622483910721632</v>
      </c>
      <c r="I10" s="7">
        <v>86.45999999999999</v>
      </c>
      <c r="J10" s="7">
        <v>87.27</v>
      </c>
      <c r="K10" s="7">
        <v>147.38</v>
      </c>
      <c r="L10" s="7">
        <v>145.28</v>
      </c>
      <c r="M10" s="8">
        <v>0</v>
      </c>
      <c r="O10" s="5" t="s">
        <v>38</v>
      </c>
      <c r="P10" s="7">
        <v>1024</v>
      </c>
      <c r="Q10" s="7">
        <v>8</v>
      </c>
      <c r="R10" s="7">
        <v>1.0045</v>
      </c>
      <c r="S10" s="7">
        <v>1.0092</v>
      </c>
      <c r="T10" s="7">
        <v>1.0199</v>
      </c>
      <c r="U10" s="7">
        <v>0.9986</v>
      </c>
    </row>
    <row r="11" spans="1:21">
      <c r="A11" s="5" t="s">
        <v>60</v>
      </c>
      <c r="B11" s="6">
        <v>8192</v>
      </c>
      <c r="C11" s="6">
        <v>128</v>
      </c>
      <c r="D11" s="6">
        <v>1</v>
      </c>
      <c r="E11" s="5" t="s">
        <v>51</v>
      </c>
      <c r="F11" s="7">
        <v>13.51</v>
      </c>
      <c r="G11" s="7">
        <v>13.65</v>
      </c>
      <c r="H11" s="8">
        <f>G11/F11-1</f>
        <v>0.010362694300518172</v>
      </c>
      <c r="I11" s="7">
        <v>3.01</v>
      </c>
      <c r="J11" s="7">
        <v>3.02</v>
      </c>
      <c r="K11" s="7">
        <v>54.07</v>
      </c>
      <c r="L11" s="7">
        <v>55.86</v>
      </c>
      <c r="M11" s="8">
        <v>0</v>
      </c>
      <c r="O11" s="5" t="s">
        <v>38</v>
      </c>
      <c r="P11" s="7">
        <v>8192</v>
      </c>
      <c r="Q11" s="7">
        <v>8</v>
      </c>
      <c r="R11" s="7">
        <v>0.9972</v>
      </c>
      <c r="S11" s="7">
        <v>1.0117</v>
      </c>
      <c r="T11" s="7">
        <v>0.9895</v>
      </c>
      <c r="U11" s="7">
        <v>1.0087</v>
      </c>
    </row>
    <row r="12" spans="1:21">
      <c r="A12" s="5" t="s">
        <v>61</v>
      </c>
      <c r="B12" s="6">
        <v>8192</v>
      </c>
      <c r="C12" s="6">
        <v>128</v>
      </c>
      <c r="D12" s="6">
        <v>8</v>
      </c>
      <c r="E12" s="5" t="s">
        <v>51</v>
      </c>
      <c r="F12" s="7">
        <v>41.67</v>
      </c>
      <c r="G12" s="7">
        <v>41.74</v>
      </c>
      <c r="H12" s="8">
        <f>G12/F12-1</f>
        <v>0.0016798656107510634</v>
      </c>
      <c r="I12" s="7">
        <v>22.44</v>
      </c>
      <c r="J12" s="7">
        <v>22.34</v>
      </c>
      <c r="K12" s="7">
        <v>54.85</v>
      </c>
      <c r="L12" s="7">
        <v>51</v>
      </c>
      <c r="M12" s="8">
        <v>0</v>
      </c>
      <c r="O12" s="5" t="s">
        <v>38</v>
      </c>
      <c r="P12" s="7">
        <v>16384</v>
      </c>
      <c r="Q12" s="7">
        <v>8</v>
      </c>
      <c r="R12" s="7">
        <v>0.986</v>
      </c>
      <c r="S12" s="7">
        <v>1.0096</v>
      </c>
      <c r="T12" s="7">
        <v>1.0086</v>
      </c>
      <c r="U12" s="7">
        <v>1.0159</v>
      </c>
    </row>
    <row r="13" spans="1:21">
      <c r="A13" s="5" t="s">
        <v>62</v>
      </c>
      <c r="B13" s="6">
        <v>8192</v>
      </c>
      <c r="C13" s="6">
        <v>128</v>
      </c>
      <c r="D13" s="6">
        <v>32</v>
      </c>
      <c r="E13" s="5" t="s">
        <v>54</v>
      </c>
      <c r="F13" s="7">
        <v>44.58</v>
      </c>
      <c r="G13" s="7">
        <v>44.51</v>
      </c>
      <c r="H13" s="8">
        <f>G13/F13-1</f>
        <v>-0.001570210856886467</v>
      </c>
      <c r="I13" s="7">
        <v>87.55</v>
      </c>
      <c r="J13" s="7">
        <v>87.42</v>
      </c>
      <c r="K13" s="7">
        <v>60.45</v>
      </c>
      <c r="L13" s="7">
        <v>55.49</v>
      </c>
      <c r="M13" s="8">
        <v>0</v>
      </c>
      <c r="O13" s="5" t="s">
        <v>39</v>
      </c>
      <c r="P13" s="7">
        <v>128</v>
      </c>
      <c r="Q13" s="7">
        <v>12</v>
      </c>
      <c r="R13" s="7">
        <v>1.0054</v>
      </c>
      <c r="S13" s="7">
        <v>1.0001</v>
      </c>
      <c r="T13" s="7">
        <v>0.9891</v>
      </c>
      <c r="U13" s="7">
        <v>0.9998</v>
      </c>
    </row>
    <row r="14" spans="1:21">
      <c r="A14" s="5" t="s">
        <v>63</v>
      </c>
      <c r="B14" s="6">
        <v>8192</v>
      </c>
      <c r="C14" s="6">
        <v>128</v>
      </c>
      <c r="D14" s="6">
        <v>64</v>
      </c>
      <c r="E14" s="5" t="s">
        <v>51</v>
      </c>
      <c r="F14" s="7">
        <v>44.16</v>
      </c>
      <c r="G14" s="7">
        <v>44.16</v>
      </c>
      <c r="H14" s="8">
        <f>G14/F14-1</f>
        <v>0.0</v>
      </c>
      <c r="I14" s="7">
        <v>178.18</v>
      </c>
      <c r="J14" s="7">
        <v>178.1</v>
      </c>
      <c r="K14" s="7">
        <v>54.96</v>
      </c>
      <c r="L14" s="7">
        <v>51.51</v>
      </c>
      <c r="M14" s="8">
        <v>0</v>
      </c>
      <c r="O14" s="5" t="s">
        <v>39</v>
      </c>
      <c r="P14" s="7">
        <v>1024</v>
      </c>
      <c r="Q14" s="7">
        <v>12</v>
      </c>
      <c r="R14" s="7">
        <v>0.9864000000000001</v>
      </c>
      <c r="S14" s="7">
        <v>1.0204</v>
      </c>
      <c r="T14" s="7">
        <v>1.023</v>
      </c>
      <c r="U14" s="7">
        <v>1.0157</v>
      </c>
    </row>
    <row r="15" spans="1:21">
      <c r="A15" s="5" t="s">
        <v>64</v>
      </c>
      <c r="B15" s="6">
        <v>8192</v>
      </c>
      <c r="C15" s="6">
        <v>1024</v>
      </c>
      <c r="D15" s="6">
        <v>1</v>
      </c>
      <c r="E15" s="5" t="s">
        <v>54</v>
      </c>
      <c r="F15" s="7">
        <v>18.09</v>
      </c>
      <c r="G15" s="7">
        <v>18.28</v>
      </c>
      <c r="H15" s="8">
        <f>G15/F15-1</f>
        <v>0.010503040353786686</v>
      </c>
      <c r="I15" s="7">
        <v>3.14</v>
      </c>
      <c r="J15" s="7">
        <v>3.19</v>
      </c>
      <c r="K15" s="7">
        <v>54.81</v>
      </c>
      <c r="L15" s="7">
        <v>55.25</v>
      </c>
      <c r="M15" s="8">
        <v>0</v>
      </c>
      <c r="O15" s="5" t="s">
        <v>40</v>
      </c>
      <c r="P15" s="7">
        <v>1</v>
      </c>
      <c r="Q15" s="7">
        <v>6</v>
      </c>
      <c r="R15" s="7">
        <v>1.0037</v>
      </c>
      <c r="S15" s="7">
        <v>1.0152</v>
      </c>
      <c r="T15" s="7">
        <v>1.0119</v>
      </c>
      <c r="U15" s="7">
        <v>1.0066</v>
      </c>
    </row>
    <row r="16" spans="1:21">
      <c r="A16" s="5" t="s">
        <v>65</v>
      </c>
      <c r="B16" s="6">
        <v>8192</v>
      </c>
      <c r="C16" s="6">
        <v>1024</v>
      </c>
      <c r="D16" s="6">
        <v>8</v>
      </c>
      <c r="E16" s="5" t="s">
        <v>54</v>
      </c>
      <c r="F16" s="7">
        <v>113.23</v>
      </c>
      <c r="G16" s="7">
        <v>109.02</v>
      </c>
      <c r="H16" s="8">
        <f>G16/F16-1</f>
        <v>-0.03718095910977659</v>
      </c>
      <c r="I16" s="7">
        <v>53.32</v>
      </c>
      <c r="J16" s="7">
        <v>57.81</v>
      </c>
      <c r="K16" s="7">
        <v>55.56</v>
      </c>
      <c r="L16" s="7">
        <v>59.32</v>
      </c>
      <c r="M16" s="8">
        <v>0</v>
      </c>
      <c r="O16" s="5" t="s">
        <v>40</v>
      </c>
      <c r="P16" s="7">
        <v>8</v>
      </c>
      <c r="Q16" s="7">
        <v>6</v>
      </c>
      <c r="R16" s="7">
        <v>0.9903999999999999</v>
      </c>
      <c r="S16" s="7">
        <v>1.0209</v>
      </c>
      <c r="T16" s="7">
        <v>0.993</v>
      </c>
      <c r="U16" s="7">
        <v>1.0111</v>
      </c>
    </row>
    <row r="17" spans="1:21">
      <c r="A17" s="5" t="s">
        <v>66</v>
      </c>
      <c r="B17" s="6">
        <v>8192</v>
      </c>
      <c r="C17" s="6">
        <v>1024</v>
      </c>
      <c r="D17" s="6">
        <v>32</v>
      </c>
      <c r="E17" s="5" t="s">
        <v>54</v>
      </c>
      <c r="F17" s="7">
        <v>123.88</v>
      </c>
      <c r="G17" s="7">
        <v>123.23</v>
      </c>
      <c r="H17" s="8">
        <f>G17/F17-1</f>
        <v>-0.005247013238617981</v>
      </c>
      <c r="I17" s="7">
        <v>232.63</v>
      </c>
      <c r="J17" s="7">
        <v>232.22</v>
      </c>
      <c r="K17" s="7">
        <v>55.39</v>
      </c>
      <c r="L17" s="7">
        <v>56.97</v>
      </c>
      <c r="M17" s="8">
        <v>0</v>
      </c>
      <c r="O17" s="5" t="s">
        <v>40</v>
      </c>
      <c r="P17" s="7">
        <v>32</v>
      </c>
      <c r="Q17" s="7">
        <v>6</v>
      </c>
      <c r="R17" s="7">
        <v>0.9921</v>
      </c>
      <c r="S17" s="7">
        <v>1.0052</v>
      </c>
      <c r="T17" s="7">
        <v>1.0237</v>
      </c>
      <c r="U17" s="7">
        <v>1.0072</v>
      </c>
    </row>
    <row r="18" spans="1:21">
      <c r="A18" s="5" t="s">
        <v>67</v>
      </c>
      <c r="B18" s="6">
        <v>8192</v>
      </c>
      <c r="C18" s="6">
        <v>1024</v>
      </c>
      <c r="D18" s="6">
        <v>64</v>
      </c>
      <c r="E18" s="5" t="s">
        <v>51</v>
      </c>
      <c r="F18" s="7">
        <v>127.28</v>
      </c>
      <c r="G18" s="7">
        <v>127.19</v>
      </c>
      <c r="H18" s="8">
        <f>G18/F18-1</f>
        <v>-0.0007071024512885771</v>
      </c>
      <c r="I18" s="7">
        <v>477.44</v>
      </c>
      <c r="J18" s="7">
        <v>477.61</v>
      </c>
      <c r="K18" s="7">
        <v>53.68</v>
      </c>
      <c r="L18" s="7">
        <v>53.92</v>
      </c>
      <c r="M18" s="8">
        <v>0</v>
      </c>
      <c r="O18" s="5" t="s">
        <v>40</v>
      </c>
      <c r="P18" s="7">
        <v>64</v>
      </c>
      <c r="Q18" s="7">
        <v>6</v>
      </c>
      <c r="R18" s="7">
        <v>0.9973</v>
      </c>
      <c r="S18" s="7">
        <v>0.9995000000000001</v>
      </c>
      <c r="T18" s="7">
        <v>0.9954</v>
      </c>
      <c r="U18" s="7">
        <v>1.0059</v>
      </c>
    </row>
    <row r="19" spans="1:21">
      <c r="A19" s="5" t="s">
        <v>68</v>
      </c>
      <c r="B19" s="6">
        <v>16384</v>
      </c>
      <c r="C19" s="6">
        <v>128</v>
      </c>
      <c r="D19" s="6">
        <v>1</v>
      </c>
      <c r="E19" s="5" t="s">
        <v>54</v>
      </c>
      <c r="F19" s="7">
        <v>9.57</v>
      </c>
      <c r="G19" s="7">
        <v>9.289999999999999</v>
      </c>
      <c r="H19" s="8">
        <f>G19/F19-1</f>
        <v>-0.02925809822361558</v>
      </c>
      <c r="I19" s="7">
        <v>6.59</v>
      </c>
      <c r="J19" s="7">
        <v>6.64</v>
      </c>
      <c r="K19" s="7">
        <v>61.91</v>
      </c>
      <c r="L19" s="7">
        <v>65.51000000000001</v>
      </c>
      <c r="M19" s="8">
        <v>0</v>
      </c>
    </row>
    <row r="20" spans="1:21">
      <c r="A20" s="5" t="s">
        <v>69</v>
      </c>
      <c r="B20" s="6">
        <v>16384</v>
      </c>
      <c r="C20" s="6">
        <v>128</v>
      </c>
      <c r="D20" s="6">
        <v>8</v>
      </c>
      <c r="E20" s="5" t="s">
        <v>51</v>
      </c>
      <c r="F20" s="7">
        <v>19.66</v>
      </c>
      <c r="G20" s="7">
        <v>19.68</v>
      </c>
      <c r="H20" s="8">
        <f>G20/F20-1</f>
        <v>0.0010172939979653517</v>
      </c>
      <c r="I20" s="7">
        <v>49.14</v>
      </c>
      <c r="J20" s="7">
        <v>49.06</v>
      </c>
      <c r="K20" s="7">
        <v>54.83</v>
      </c>
      <c r="L20" s="7">
        <v>50.67</v>
      </c>
      <c r="M20" s="8">
        <v>0</v>
      </c>
    </row>
    <row r="21" spans="1:21">
      <c r="A21" s="5" t="s">
        <v>70</v>
      </c>
      <c r="B21" s="6">
        <v>16384</v>
      </c>
      <c r="C21" s="6">
        <v>128</v>
      </c>
      <c r="D21" s="6">
        <v>32</v>
      </c>
      <c r="E21" s="5" t="s">
        <v>51</v>
      </c>
      <c r="F21" s="7">
        <v>20.1</v>
      </c>
      <c r="G21" s="7">
        <v>20.08</v>
      </c>
      <c r="H21" s="8">
        <f>G21/F21-1</f>
        <v>-0.0009950248756220859</v>
      </c>
      <c r="I21" s="7">
        <v>196.07</v>
      </c>
      <c r="J21" s="7">
        <v>196.13</v>
      </c>
      <c r="K21" s="7">
        <v>51.32</v>
      </c>
      <c r="L21" s="7">
        <v>51.28</v>
      </c>
      <c r="M21" s="8">
        <v>0</v>
      </c>
    </row>
    <row r="22" spans="1:21">
      <c r="A22" s="5" t="s">
        <v>71</v>
      </c>
      <c r="B22" s="6">
        <v>16384</v>
      </c>
      <c r="C22" s="6">
        <v>128</v>
      </c>
      <c r="D22" s="6">
        <v>64</v>
      </c>
      <c r="E22" s="5" t="s">
        <v>51</v>
      </c>
      <c r="F22" s="7">
        <v>20.31</v>
      </c>
      <c r="G22" s="7">
        <v>20.31</v>
      </c>
      <c r="H22" s="8">
        <f>G22/F22-1</f>
        <v>0.0</v>
      </c>
      <c r="I22" s="7">
        <v>395.03</v>
      </c>
      <c r="J22" s="7">
        <v>394.88</v>
      </c>
      <c r="K22" s="7">
        <v>54.64</v>
      </c>
      <c r="L22" s="7">
        <v>51.39</v>
      </c>
      <c r="M22" s="8">
        <v>0</v>
      </c>
    </row>
    <row r="23" spans="1:21">
      <c r="A23" s="5" t="s">
        <v>72</v>
      </c>
      <c r="B23" s="6">
        <v>16384</v>
      </c>
      <c r="C23" s="6">
        <v>1024</v>
      </c>
      <c r="D23" s="6">
        <v>1</v>
      </c>
      <c r="E23" s="5" t="s">
        <v>54</v>
      </c>
      <c r="F23" s="7">
        <v>17.35</v>
      </c>
      <c r="G23" s="7">
        <v>17.11</v>
      </c>
      <c r="H23" s="8">
        <f>G23/F23-1</f>
        <v>-0.013832853025936731</v>
      </c>
      <c r="I23" s="7">
        <v>6.61</v>
      </c>
      <c r="J23" s="7">
        <v>6.66</v>
      </c>
      <c r="K23" s="7">
        <v>54.03</v>
      </c>
      <c r="L23" s="7">
        <v>56</v>
      </c>
      <c r="M23" s="8">
        <v>0</v>
      </c>
    </row>
    <row r="24" spans="1:21">
      <c r="A24" s="5" t="s">
        <v>73</v>
      </c>
      <c r="B24" s="6">
        <v>16384</v>
      </c>
      <c r="C24" s="6">
        <v>1024</v>
      </c>
      <c r="D24" s="6">
        <v>8</v>
      </c>
      <c r="E24" s="5" t="s">
        <v>54</v>
      </c>
      <c r="F24" s="7">
        <v>52.83</v>
      </c>
      <c r="G24" s="7">
        <v>50.5</v>
      </c>
      <c r="H24" s="8">
        <f>G24/F24-1</f>
        <v>-0.044103728941889075</v>
      </c>
      <c r="I24" s="7">
        <v>121.58</v>
      </c>
      <c r="J24" s="7">
        <v>127.66</v>
      </c>
      <c r="K24" s="7">
        <v>55.06</v>
      </c>
      <c r="L24" s="7">
        <v>59.19</v>
      </c>
      <c r="M24" s="8">
        <v>0</v>
      </c>
    </row>
    <row r="25" spans="1:21">
      <c r="A25" s="5" t="s">
        <v>74</v>
      </c>
      <c r="B25" s="6">
        <v>16384</v>
      </c>
      <c r="C25" s="6">
        <v>1024</v>
      </c>
      <c r="D25" s="6">
        <v>32</v>
      </c>
      <c r="E25" s="5" t="s">
        <v>54</v>
      </c>
      <c r="F25" s="7">
        <v>55.65</v>
      </c>
      <c r="G25" s="7">
        <v>54.36</v>
      </c>
      <c r="H25" s="8">
        <f>G25/F25-1</f>
        <v>-0.023180592991913773</v>
      </c>
      <c r="I25" s="7">
        <v>553.1900000000001</v>
      </c>
      <c r="J25" s="7">
        <v>569.86</v>
      </c>
      <c r="K25" s="7">
        <v>55.89</v>
      </c>
      <c r="L25" s="7">
        <v>57.35</v>
      </c>
      <c r="M25" s="8">
        <v>0</v>
      </c>
    </row>
    <row r="26" spans="1:21">
      <c r="A26" s="5" t="s">
        <v>75</v>
      </c>
      <c r="B26" s="6">
        <v>16384</v>
      </c>
      <c r="C26" s="6">
        <v>1024</v>
      </c>
      <c r="D26" s="6">
        <v>64</v>
      </c>
      <c r="E26" s="5" t="s">
        <v>51</v>
      </c>
      <c r="F26" s="7">
        <v>40.46</v>
      </c>
      <c r="G26" s="7">
        <v>40.47</v>
      </c>
      <c r="H26" s="8">
        <f>G26/F26-1</f>
        <v>0.00024715768660410475</v>
      </c>
      <c r="I26" s="7">
        <v>72.90000000000001</v>
      </c>
      <c r="J26" s="7">
        <v>71.77</v>
      </c>
      <c r="K26" s="7">
        <v>53.62</v>
      </c>
      <c r="L26" s="7">
        <v>54.66</v>
      </c>
      <c r="M26" s="8">
        <v>0</v>
      </c>
    </row>
  </sheetData>
  <autoFilter ref="O9:U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7.7109375" customWidth="1"/>
    <col min="2" max="4" width="9.7109375" customWidth="1"/>
    <col min="5" max="11" width="17.7109375" customWidth="1"/>
  </cols>
  <sheetData>
    <row r="1" spans="1:16">
      <c r="A1" s="1" t="s">
        <v>86</v>
      </c>
    </row>
    <row r="2" spans="1:16">
      <c r="A2" s="4" t="s">
        <v>37</v>
      </c>
      <c r="B2" s="4" t="s">
        <v>38</v>
      </c>
      <c r="C2" s="4" t="s">
        <v>39</v>
      </c>
      <c r="D2" s="4" t="s">
        <v>40</v>
      </c>
      <c r="E2" s="4" t="s">
        <v>87</v>
      </c>
      <c r="F2" s="4" t="s">
        <v>88</v>
      </c>
      <c r="G2" s="4" t="s">
        <v>89</v>
      </c>
      <c r="H2" s="4" t="s">
        <v>90</v>
      </c>
      <c r="I2" s="4" t="s">
        <v>91</v>
      </c>
      <c r="J2" s="4" t="s">
        <v>92</v>
      </c>
      <c r="K2" s="4" t="s">
        <v>49</v>
      </c>
      <c r="M2" s="4" t="s">
        <v>76</v>
      </c>
      <c r="N2" s="4" t="s">
        <v>93</v>
      </c>
      <c r="O2" s="4" t="s">
        <v>94</v>
      </c>
      <c r="P2" s="4" t="s">
        <v>49</v>
      </c>
    </row>
    <row r="3" spans="1:16">
      <c r="A3" s="5" t="s">
        <v>50</v>
      </c>
      <c r="B3" s="6">
        <v>1024</v>
      </c>
      <c r="C3" s="6">
        <v>128</v>
      </c>
      <c r="D3" s="6">
        <v>1</v>
      </c>
      <c r="E3" s="9">
        <v>19.4</v>
      </c>
      <c r="F3" s="9">
        <v>19.14</v>
      </c>
      <c r="G3" s="9">
        <v>1.014</v>
      </c>
      <c r="H3" s="9">
        <v>0.797</v>
      </c>
      <c r="I3" s="9">
        <v>1.032</v>
      </c>
      <c r="J3" s="9">
        <v>1.018</v>
      </c>
      <c r="K3" s="9">
        <v>1</v>
      </c>
      <c r="M3" s="5" t="s">
        <v>79</v>
      </c>
      <c r="N3" s="9">
        <v>1.2592</v>
      </c>
      <c r="O3" s="9">
        <v>1.2592</v>
      </c>
      <c r="P3" s="9">
        <v>1</v>
      </c>
    </row>
    <row r="4" spans="1:16">
      <c r="A4" s="5" t="s">
        <v>52</v>
      </c>
      <c r="B4" s="6">
        <v>1024</v>
      </c>
      <c r="C4" s="6">
        <v>128</v>
      </c>
      <c r="D4" s="6">
        <v>8</v>
      </c>
      <c r="E4" s="9">
        <v>123.4</v>
      </c>
      <c r="F4" s="9">
        <v>134.44</v>
      </c>
      <c r="G4" s="9">
        <v>0.918</v>
      </c>
      <c r="H4" s="9">
        <v>0.523</v>
      </c>
      <c r="I4" s="9">
        <v>1.228</v>
      </c>
      <c r="J4" s="9">
        <v>0.948</v>
      </c>
      <c r="K4" s="9">
        <v>1</v>
      </c>
      <c r="M4" s="5" t="s">
        <v>80</v>
      </c>
      <c r="N4" s="9">
        <v>0.677</v>
      </c>
      <c r="O4" s="9">
        <v>1.477104874446086</v>
      </c>
      <c r="P4" s="9">
        <v>1</v>
      </c>
    </row>
    <row r="5" spans="1:16">
      <c r="A5" s="5" t="s">
        <v>60</v>
      </c>
      <c r="B5" s="6">
        <v>8192</v>
      </c>
      <c r="C5" s="6">
        <v>128</v>
      </c>
      <c r="D5" s="6">
        <v>1</v>
      </c>
      <c r="E5" s="9">
        <v>14.02</v>
      </c>
      <c r="F5" s="9">
        <v>13.65</v>
      </c>
      <c r="G5" s="9">
        <v>1.027</v>
      </c>
      <c r="H5" s="9">
        <v>0.9320000000000001</v>
      </c>
      <c r="I5" s="9">
        <v>0.896</v>
      </c>
      <c r="J5" s="9">
        <v>0.908</v>
      </c>
      <c r="K5" s="9">
        <v>1</v>
      </c>
      <c r="M5" s="5" t="s">
        <v>81</v>
      </c>
      <c r="N5" s="9">
        <v>1.9335</v>
      </c>
      <c r="O5" s="9">
        <v>0.517196793379881</v>
      </c>
      <c r="P5" s="9">
        <v>1</v>
      </c>
    </row>
    <row r="6" spans="1:16">
      <c r="A6" s="5" t="s">
        <v>61</v>
      </c>
      <c r="B6" s="6">
        <v>8192</v>
      </c>
      <c r="C6" s="6">
        <v>128</v>
      </c>
      <c r="D6" s="6">
        <v>8</v>
      </c>
      <c r="E6" s="9">
        <v>56.31</v>
      </c>
      <c r="F6" s="9">
        <v>41.74</v>
      </c>
      <c r="G6" s="9">
        <v>1.349</v>
      </c>
      <c r="H6" s="9">
        <v>0.532</v>
      </c>
      <c r="I6" s="9">
        <v>2.306</v>
      </c>
      <c r="J6" s="9">
        <v>0.878</v>
      </c>
      <c r="K6" s="9">
        <v>1</v>
      </c>
      <c r="M6" s="5" t="s">
        <v>82</v>
      </c>
      <c r="N6" s="9">
        <v>0.8577</v>
      </c>
      <c r="O6" s="9">
        <v>1.165908825929812</v>
      </c>
      <c r="P6" s="9">
        <v>1</v>
      </c>
    </row>
    <row r="7" spans="1:16">
      <c r="A7" s="5" t="s">
        <v>63</v>
      </c>
      <c r="B7" s="6">
        <v>8192</v>
      </c>
      <c r="C7" s="6">
        <v>128</v>
      </c>
      <c r="D7" s="6">
        <v>64</v>
      </c>
      <c r="E7" s="9">
        <v>68.02</v>
      </c>
      <c r="F7" s="9">
        <v>44.16</v>
      </c>
      <c r="G7" s="9">
        <v>1.54</v>
      </c>
      <c r="H7" s="9">
        <v>0.643</v>
      </c>
      <c r="I7" s="9">
        <v>3.562</v>
      </c>
      <c r="J7" s="9">
        <v>0.739</v>
      </c>
      <c r="K7" s="9">
        <v>1</v>
      </c>
    </row>
    <row r="8" spans="1:16">
      <c r="A8" s="5" t="s">
        <v>67</v>
      </c>
      <c r="B8" s="6">
        <v>8192</v>
      </c>
      <c r="C8" s="6">
        <v>1024</v>
      </c>
      <c r="D8" s="6">
        <v>64</v>
      </c>
      <c r="E8" s="9">
        <v>191.38</v>
      </c>
      <c r="F8" s="9">
        <v>127.19</v>
      </c>
      <c r="G8" s="9">
        <v>1.505</v>
      </c>
      <c r="H8" s="9">
        <v>0.64</v>
      </c>
      <c r="I8" s="9">
        <v>1.286</v>
      </c>
      <c r="J8" s="9">
        <v>0.705</v>
      </c>
      <c r="K8" s="9">
        <v>1</v>
      </c>
      <c r="M8" s="10" t="s">
        <v>95</v>
      </c>
      <c r="N8" s="10"/>
      <c r="O8" s="10"/>
      <c r="P8" s="10"/>
    </row>
    <row r="9" spans="1:16">
      <c r="A9" s="5" t="s">
        <v>69</v>
      </c>
      <c r="B9" s="6">
        <v>16384</v>
      </c>
      <c r="C9" s="6">
        <v>128</v>
      </c>
      <c r="D9" s="6">
        <v>8</v>
      </c>
      <c r="E9" s="9">
        <v>29.63</v>
      </c>
      <c r="F9" s="9">
        <v>19.68</v>
      </c>
      <c r="G9" s="9">
        <v>1.505</v>
      </c>
      <c r="H9" s="9">
        <v>0.641</v>
      </c>
      <c r="I9" s="9">
        <v>3.728</v>
      </c>
      <c r="J9" s="9">
        <v>1</v>
      </c>
      <c r="K9" s="9">
        <v>1</v>
      </c>
      <c r="M9" s="10"/>
      <c r="N9" s="10"/>
      <c r="O9" s="10"/>
      <c r="P9" s="10"/>
    </row>
    <row r="10" spans="1:16">
      <c r="A10" s="5" t="s">
        <v>70</v>
      </c>
      <c r="B10" s="6">
        <v>16384</v>
      </c>
      <c r="C10" s="6">
        <v>128</v>
      </c>
      <c r="D10" s="6">
        <v>32</v>
      </c>
      <c r="E10" s="9">
        <v>30.12</v>
      </c>
      <c r="F10" s="9">
        <v>20.08</v>
      </c>
      <c r="G10" s="9">
        <v>1.5</v>
      </c>
      <c r="H10" s="9">
        <v>0.673</v>
      </c>
      <c r="I10" s="9">
        <v>3.732</v>
      </c>
      <c r="J10" s="9">
        <v>0.77</v>
      </c>
      <c r="K10" s="9">
        <v>1</v>
      </c>
    </row>
    <row r="11" spans="1:16">
      <c r="A11" s="5" t="s">
        <v>71</v>
      </c>
      <c r="B11" s="6">
        <v>16384</v>
      </c>
      <c r="C11" s="6">
        <v>128</v>
      </c>
      <c r="D11" s="6">
        <v>64</v>
      </c>
      <c r="E11" s="9">
        <v>30.16</v>
      </c>
      <c r="F11" s="9">
        <v>20.31</v>
      </c>
      <c r="G11" s="9">
        <v>1.485</v>
      </c>
      <c r="H11" s="9">
        <v>0.658</v>
      </c>
      <c r="I11" s="9">
        <v>3.689</v>
      </c>
      <c r="J11" s="9">
        <v>0.694</v>
      </c>
      <c r="K11" s="9">
        <v>1</v>
      </c>
    </row>
    <row r="12" spans="1:16">
      <c r="A12" s="5" t="s">
        <v>75</v>
      </c>
      <c r="B12" s="6">
        <v>16384</v>
      </c>
      <c r="C12" s="6">
        <v>1024</v>
      </c>
      <c r="D12" s="6">
        <v>64</v>
      </c>
      <c r="E12" s="9">
        <v>40.48</v>
      </c>
      <c r="F12" s="9">
        <v>40.47</v>
      </c>
      <c r="G12" s="9">
        <v>1</v>
      </c>
      <c r="H12" s="9">
        <v>0.836</v>
      </c>
      <c r="I12" s="9">
        <v>1.185</v>
      </c>
      <c r="J12" s="9">
        <v>1.007</v>
      </c>
      <c r="K12" s="9">
        <v>1</v>
      </c>
    </row>
  </sheetData>
  <autoFilter ref="A2:K12"/>
  <mergeCells count="1">
    <mergeCell ref="M8:P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7.7109375" customWidth="1"/>
    <col min="2" max="4" width="9.7109375" customWidth="1"/>
    <col min="5" max="11" width="17.7109375" customWidth="1"/>
    <col min="13" max="13" width="12.7109375" customWidth="1"/>
    <col min="14" max="14" width="10.7109375" customWidth="1"/>
    <col min="15" max="15" width="14.7109375" customWidth="1"/>
    <col min="16" max="18" width="13.7109375" customWidth="1"/>
  </cols>
  <sheetData>
    <row r="1" spans="1:19">
      <c r="A1" s="1" t="s">
        <v>96</v>
      </c>
    </row>
    <row r="2" spans="1:19">
      <c r="A2" s="4" t="s">
        <v>37</v>
      </c>
      <c r="B2" s="4" t="s">
        <v>38</v>
      </c>
      <c r="C2" s="4" t="s">
        <v>39</v>
      </c>
      <c r="D2" s="4" t="s">
        <v>40</v>
      </c>
      <c r="E2" s="4" t="s">
        <v>97</v>
      </c>
      <c r="F2" s="4" t="s">
        <v>98</v>
      </c>
      <c r="G2" s="4" t="s">
        <v>89</v>
      </c>
      <c r="H2" s="4" t="s">
        <v>90</v>
      </c>
      <c r="I2" s="4" t="s">
        <v>91</v>
      </c>
      <c r="J2" s="4" t="s">
        <v>92</v>
      </c>
      <c r="K2" s="4" t="s">
        <v>49</v>
      </c>
      <c r="M2" s="4" t="s">
        <v>83</v>
      </c>
      <c r="N2" s="4" t="s">
        <v>84</v>
      </c>
      <c r="O2" s="4" t="s">
        <v>5</v>
      </c>
      <c r="P2" s="4" t="s">
        <v>80</v>
      </c>
      <c r="Q2" s="4" t="s">
        <v>81</v>
      </c>
      <c r="R2" s="4" t="s">
        <v>82</v>
      </c>
      <c r="S2" s="4" t="s">
        <v>49</v>
      </c>
    </row>
    <row r="3" spans="1:19">
      <c r="A3" s="5" t="s">
        <v>50</v>
      </c>
      <c r="B3" s="6">
        <v>1024</v>
      </c>
      <c r="C3" s="6">
        <v>128</v>
      </c>
      <c r="D3" s="6">
        <v>1</v>
      </c>
      <c r="E3" s="9">
        <v>18.56</v>
      </c>
      <c r="F3" s="9">
        <v>18.17</v>
      </c>
      <c r="G3" s="9">
        <v>0.979</v>
      </c>
      <c r="H3" s="9">
        <v>0.9409999999999999</v>
      </c>
      <c r="I3" s="9">
        <v>1.053</v>
      </c>
      <c r="J3" s="9">
        <v>1.044</v>
      </c>
      <c r="K3" s="9">
        <v>1</v>
      </c>
      <c r="M3" s="5" t="s">
        <v>38</v>
      </c>
      <c r="N3" s="7">
        <v>1024</v>
      </c>
      <c r="O3" s="7">
        <v>0.8643</v>
      </c>
      <c r="P3" s="7">
        <v>1.5172</v>
      </c>
      <c r="Q3" s="7">
        <v>1.0565</v>
      </c>
      <c r="R3" s="7">
        <v>1.168</v>
      </c>
      <c r="S3" s="9">
        <v>1</v>
      </c>
    </row>
    <row r="4" spans="1:19">
      <c r="A4" s="5" t="s">
        <v>52</v>
      </c>
      <c r="B4" s="6">
        <v>1024</v>
      </c>
      <c r="C4" s="6">
        <v>128</v>
      </c>
      <c r="D4" s="6">
        <v>8</v>
      </c>
      <c r="E4" s="9">
        <v>134.47</v>
      </c>
      <c r="F4" s="9">
        <v>128.8</v>
      </c>
      <c r="G4" s="9">
        <v>0.958</v>
      </c>
      <c r="H4" s="9">
        <v>1.786</v>
      </c>
      <c r="I4" s="9">
        <v>1.005</v>
      </c>
      <c r="J4" s="9">
        <v>1.14</v>
      </c>
      <c r="K4" s="9">
        <v>1</v>
      </c>
      <c r="M4" s="5" t="s">
        <v>38</v>
      </c>
      <c r="N4" s="7">
        <v>8192</v>
      </c>
      <c r="O4" s="7">
        <v>0.8278</v>
      </c>
      <c r="P4" s="7">
        <v>1.1839</v>
      </c>
      <c r="Q4" s="7">
        <v>1.0634</v>
      </c>
      <c r="R4" s="7">
        <v>1.154</v>
      </c>
      <c r="S4" s="9">
        <v>1</v>
      </c>
    </row>
    <row r="5" spans="1:19">
      <c r="A5" s="5" t="s">
        <v>53</v>
      </c>
      <c r="B5" s="6">
        <v>1024</v>
      </c>
      <c r="C5" s="6">
        <v>128</v>
      </c>
      <c r="D5" s="6">
        <v>32</v>
      </c>
      <c r="E5" s="9">
        <v>451.76</v>
      </c>
      <c r="F5" s="9">
        <v>324.7</v>
      </c>
      <c r="G5" s="9">
        <v>0.719</v>
      </c>
      <c r="H5" s="9">
        <v>1.805</v>
      </c>
      <c r="I5" s="9">
        <v>1.034</v>
      </c>
      <c r="J5" s="9">
        <v>1.393</v>
      </c>
      <c r="K5" s="9">
        <v>1</v>
      </c>
      <c r="M5" s="5" t="s">
        <v>38</v>
      </c>
      <c r="N5" s="7">
        <v>16384</v>
      </c>
      <c r="O5" s="7">
        <v>0.8207</v>
      </c>
      <c r="P5" s="7">
        <v>1.0828</v>
      </c>
      <c r="Q5" s="7">
        <v>1.0349</v>
      </c>
      <c r="R5" s="7">
        <v>1.1299</v>
      </c>
      <c r="S5" s="9">
        <v>1</v>
      </c>
    </row>
    <row r="6" spans="1:19">
      <c r="A6" s="5" t="s">
        <v>55</v>
      </c>
      <c r="B6" s="6">
        <v>1024</v>
      </c>
      <c r="C6" s="6">
        <v>128</v>
      </c>
      <c r="D6" s="6">
        <v>64</v>
      </c>
      <c r="E6" s="9">
        <v>644.71</v>
      </c>
      <c r="F6" s="9">
        <v>352.27</v>
      </c>
      <c r="G6" s="9">
        <v>0.546</v>
      </c>
      <c r="H6" s="9">
        <v>1.884</v>
      </c>
      <c r="I6" s="9">
        <v>1.26</v>
      </c>
      <c r="J6" s="9">
        <v>1.56</v>
      </c>
      <c r="K6" s="9">
        <v>1</v>
      </c>
      <c r="M6" s="5" t="s">
        <v>39</v>
      </c>
      <c r="N6" s="7">
        <v>128</v>
      </c>
      <c r="O6" s="7">
        <v>0.66</v>
      </c>
      <c r="P6" s="7">
        <v>1.4888</v>
      </c>
      <c r="Q6" s="7">
        <v>1.0704</v>
      </c>
      <c r="R6" s="7">
        <v>1.3727</v>
      </c>
      <c r="S6" s="9">
        <v>1</v>
      </c>
    </row>
    <row r="7" spans="1:19">
      <c r="A7" s="5" t="s">
        <v>56</v>
      </c>
      <c r="B7" s="6">
        <v>1024</v>
      </c>
      <c r="C7" s="6">
        <v>1024</v>
      </c>
      <c r="D7" s="6">
        <v>1</v>
      </c>
      <c r="E7" s="9">
        <v>19.77</v>
      </c>
      <c r="F7" s="9">
        <v>19.47</v>
      </c>
      <c r="G7" s="9">
        <v>0.985</v>
      </c>
      <c r="H7" s="9">
        <v>0.948</v>
      </c>
      <c r="I7" s="9">
        <v>1.029</v>
      </c>
      <c r="J7" s="9">
        <v>1.029</v>
      </c>
      <c r="K7" s="9">
        <v>1</v>
      </c>
      <c r="M7" s="5" t="s">
        <v>39</v>
      </c>
      <c r="N7" s="7">
        <v>1024</v>
      </c>
      <c r="O7" s="7">
        <v>1.0624</v>
      </c>
      <c r="P7" s="7">
        <v>1.0465</v>
      </c>
      <c r="Q7" s="7">
        <v>1.033</v>
      </c>
      <c r="R7" s="7">
        <v>0.9643</v>
      </c>
      <c r="S7" s="9">
        <v>1</v>
      </c>
    </row>
    <row r="8" spans="1:19">
      <c r="A8" s="5" t="s">
        <v>57</v>
      </c>
      <c r="B8" s="6">
        <v>1024</v>
      </c>
      <c r="C8" s="6">
        <v>1024</v>
      </c>
      <c r="D8" s="6">
        <v>8</v>
      </c>
      <c r="E8" s="9">
        <v>152.47</v>
      </c>
      <c r="F8" s="9">
        <v>135.13</v>
      </c>
      <c r="G8" s="9">
        <v>0.886</v>
      </c>
      <c r="H8" s="9">
        <v>1.557</v>
      </c>
      <c r="I8" s="9">
        <v>1.14</v>
      </c>
      <c r="J8" s="9">
        <v>1.137</v>
      </c>
      <c r="K8" s="9">
        <v>1</v>
      </c>
      <c r="M8" s="5" t="s">
        <v>40</v>
      </c>
      <c r="N8" s="7">
        <v>1</v>
      </c>
      <c r="O8" s="7">
        <v>0.9883</v>
      </c>
      <c r="P8" s="7">
        <v>0.9685</v>
      </c>
      <c r="Q8" s="7">
        <v>1.0182</v>
      </c>
      <c r="R8" s="7">
        <v>1.0143</v>
      </c>
      <c r="S8" s="9">
        <v>1</v>
      </c>
    </row>
    <row r="9" spans="1:19">
      <c r="A9" s="5" t="s">
        <v>58</v>
      </c>
      <c r="B9" s="6">
        <v>1024</v>
      </c>
      <c r="C9" s="6">
        <v>1024</v>
      </c>
      <c r="D9" s="6">
        <v>32</v>
      </c>
      <c r="E9" s="9">
        <v>603.3200000000001</v>
      </c>
      <c r="F9" s="9">
        <v>575.8200000000001</v>
      </c>
      <c r="G9" s="9">
        <v>0.954</v>
      </c>
      <c r="H9" s="9">
        <v>1.776</v>
      </c>
      <c r="I9" s="9">
        <v>1.015</v>
      </c>
      <c r="J9" s="9">
        <v>1.096</v>
      </c>
      <c r="K9" s="9">
        <v>1</v>
      </c>
      <c r="M9" s="5" t="s">
        <v>40</v>
      </c>
      <c r="N9" s="7">
        <v>8</v>
      </c>
      <c r="O9" s="7">
        <v>0.8089</v>
      </c>
      <c r="P9" s="7">
        <v>1.3099</v>
      </c>
      <c r="Q9" s="7">
        <v>1.0401</v>
      </c>
      <c r="R9" s="7">
        <v>1.125</v>
      </c>
      <c r="S9" s="9">
        <v>1</v>
      </c>
    </row>
    <row r="10" spans="1:19">
      <c r="A10" s="5" t="s">
        <v>59</v>
      </c>
      <c r="B10" s="6">
        <v>1024</v>
      </c>
      <c r="C10" s="6">
        <v>1024</v>
      </c>
      <c r="D10" s="6">
        <v>64</v>
      </c>
      <c r="E10" s="9">
        <v>1048.82</v>
      </c>
      <c r="F10" s="9">
        <v>1064.67</v>
      </c>
      <c r="G10" s="9">
        <v>1.015</v>
      </c>
      <c r="H10" s="9">
        <v>1.876</v>
      </c>
      <c r="I10" s="9">
        <v>0.946</v>
      </c>
      <c r="J10" s="9">
        <v>1.046</v>
      </c>
      <c r="K10" s="9">
        <v>1</v>
      </c>
      <c r="M10" s="5" t="s">
        <v>40</v>
      </c>
      <c r="N10" s="7">
        <v>32</v>
      </c>
      <c r="O10" s="7">
        <v>0.8145</v>
      </c>
      <c r="P10" s="7">
        <v>1.3333</v>
      </c>
      <c r="Q10" s="7">
        <v>1.0808</v>
      </c>
      <c r="R10" s="7">
        <v>1.1985</v>
      </c>
      <c r="S10" s="9">
        <v>1</v>
      </c>
    </row>
    <row r="11" spans="1:19">
      <c r="A11" s="5" t="s">
        <v>60</v>
      </c>
      <c r="B11" s="6">
        <v>8192</v>
      </c>
      <c r="C11" s="6">
        <v>128</v>
      </c>
      <c r="D11" s="6">
        <v>1</v>
      </c>
      <c r="E11" s="9">
        <v>13.2</v>
      </c>
      <c r="F11" s="9">
        <v>13.09</v>
      </c>
      <c r="G11" s="9">
        <v>0.992</v>
      </c>
      <c r="H11" s="9">
        <v>0.975</v>
      </c>
      <c r="I11" s="9">
        <v>0.967</v>
      </c>
      <c r="J11" s="9">
        <v>0.976</v>
      </c>
      <c r="K11" s="9">
        <v>1</v>
      </c>
      <c r="M11" s="5" t="s">
        <v>40</v>
      </c>
      <c r="N11" s="7">
        <v>64</v>
      </c>
      <c r="O11" s="7">
        <v>0.7552</v>
      </c>
      <c r="P11" s="7">
        <v>1.4353</v>
      </c>
      <c r="Q11" s="7">
        <v>1.0681</v>
      </c>
      <c r="R11" s="7">
        <v>1.2813</v>
      </c>
      <c r="S11" s="9">
        <v>1</v>
      </c>
    </row>
    <row r="12" spans="1:19">
      <c r="A12" s="5" t="s">
        <v>61</v>
      </c>
      <c r="B12" s="6">
        <v>8192</v>
      </c>
      <c r="C12" s="6">
        <v>128</v>
      </c>
      <c r="D12" s="6">
        <v>8</v>
      </c>
      <c r="E12" s="9">
        <v>75.52</v>
      </c>
      <c r="F12" s="9">
        <v>41.77</v>
      </c>
      <c r="G12" s="9">
        <v>0.553</v>
      </c>
      <c r="H12" s="9">
        <v>1.349</v>
      </c>
      <c r="I12" s="9">
        <v>1.033</v>
      </c>
      <c r="J12" s="9">
        <v>1.253</v>
      </c>
      <c r="K12" s="9">
        <v>1</v>
      </c>
    </row>
    <row r="13" spans="1:19">
      <c r="A13" s="5" t="s">
        <v>62</v>
      </c>
      <c r="B13" s="6">
        <v>8192</v>
      </c>
      <c r="C13" s="6">
        <v>128</v>
      </c>
      <c r="D13" s="6">
        <v>32</v>
      </c>
      <c r="E13" s="9">
        <v>85.56</v>
      </c>
      <c r="F13" s="9">
        <v>43.75</v>
      </c>
      <c r="G13" s="9">
        <v>0.511</v>
      </c>
      <c r="H13" s="9">
        <v>1.839</v>
      </c>
      <c r="I13" s="9">
        <v>1.359</v>
      </c>
      <c r="J13" s="9">
        <v>1.755</v>
      </c>
      <c r="K13" s="9">
        <v>1</v>
      </c>
    </row>
    <row r="14" spans="1:19">
      <c r="A14" s="5" t="s">
        <v>63</v>
      </c>
      <c r="B14" s="6">
        <v>8192</v>
      </c>
      <c r="C14" s="6">
        <v>128</v>
      </c>
      <c r="D14" s="6">
        <v>64</v>
      </c>
      <c r="E14" s="9">
        <v>88.34</v>
      </c>
      <c r="F14" s="9">
        <v>44.7</v>
      </c>
      <c r="G14" s="9">
        <v>0.506</v>
      </c>
      <c r="H14" s="9">
        <v>1.893</v>
      </c>
      <c r="I14" s="9">
        <v>1.039</v>
      </c>
      <c r="J14" s="9">
        <v>1.837</v>
      </c>
      <c r="K14" s="9">
        <v>1</v>
      </c>
    </row>
    <row r="15" spans="1:19">
      <c r="A15" s="5" t="s">
        <v>64</v>
      </c>
      <c r="B15" s="6">
        <v>8192</v>
      </c>
      <c r="C15" s="6">
        <v>1024</v>
      </c>
      <c r="D15" s="6">
        <v>1</v>
      </c>
      <c r="E15" s="9">
        <v>18.57</v>
      </c>
      <c r="F15" s="9">
        <v>18.52</v>
      </c>
      <c r="G15" s="9">
        <v>0.998</v>
      </c>
      <c r="H15" s="9">
        <v>0.985</v>
      </c>
      <c r="I15" s="9">
        <v>1</v>
      </c>
      <c r="J15" s="9">
        <v>0.999</v>
      </c>
      <c r="K15" s="9">
        <v>1</v>
      </c>
      <c r="M15" s="2" t="s">
        <v>99</v>
      </c>
    </row>
    <row r="16" spans="1:19">
      <c r="A16" s="5" t="s">
        <v>65</v>
      </c>
      <c r="B16" s="6">
        <v>8192</v>
      </c>
      <c r="C16" s="6">
        <v>1024</v>
      </c>
      <c r="D16" s="6">
        <v>8</v>
      </c>
      <c r="E16" s="9">
        <v>139.19</v>
      </c>
      <c r="F16" s="9">
        <v>134.51</v>
      </c>
      <c r="G16" s="9">
        <v>0.966</v>
      </c>
      <c r="H16" s="9">
        <v>1.346</v>
      </c>
      <c r="I16" s="9">
        <v>1.024</v>
      </c>
      <c r="J16" s="9">
        <v>1.094</v>
      </c>
      <c r="K16" s="9">
        <v>1</v>
      </c>
      <c r="M16" s="4" t="s">
        <v>100</v>
      </c>
      <c r="N16" s="4">
        <v>1</v>
      </c>
      <c r="O16" s="4">
        <v>8</v>
      </c>
      <c r="P16" s="4">
        <v>32</v>
      </c>
      <c r="Q16" s="4">
        <v>64</v>
      </c>
    </row>
    <row r="17" spans="1:17">
      <c r="A17" s="5" t="s">
        <v>66</v>
      </c>
      <c r="B17" s="6">
        <v>8192</v>
      </c>
      <c r="C17" s="6">
        <v>1024</v>
      </c>
      <c r="D17" s="6">
        <v>32</v>
      </c>
      <c r="E17" s="9">
        <v>242.45</v>
      </c>
      <c r="F17" s="9">
        <v>296.6</v>
      </c>
      <c r="G17" s="9">
        <v>1.223</v>
      </c>
      <c r="H17" s="9">
        <v>0.766</v>
      </c>
      <c r="I17" s="9">
        <v>1.107</v>
      </c>
      <c r="J17" s="9">
        <v>0.843</v>
      </c>
      <c r="K17" s="9">
        <v>1</v>
      </c>
      <c r="M17" s="5" t="s">
        <v>101</v>
      </c>
      <c r="N17" s="9">
        <v>0.979</v>
      </c>
      <c r="O17" s="9">
        <v>0.958</v>
      </c>
      <c r="P17" s="9">
        <v>0.719</v>
      </c>
      <c r="Q17" s="9">
        <v>0.546</v>
      </c>
    </row>
    <row r="18" spans="1:17">
      <c r="A18" s="5" t="s">
        <v>67</v>
      </c>
      <c r="B18" s="6">
        <v>8192</v>
      </c>
      <c r="C18" s="6">
        <v>1024</v>
      </c>
      <c r="D18" s="6">
        <v>64</v>
      </c>
      <c r="E18" s="9">
        <v>246.94</v>
      </c>
      <c r="F18" s="9">
        <v>325.18</v>
      </c>
      <c r="G18" s="9">
        <v>1.317</v>
      </c>
      <c r="H18" s="9">
        <v>0.83</v>
      </c>
      <c r="I18" s="9">
        <v>1.022</v>
      </c>
      <c r="J18" s="9">
        <v>0.864</v>
      </c>
      <c r="K18" s="9">
        <v>1</v>
      </c>
      <c r="M18" s="5" t="s">
        <v>102</v>
      </c>
      <c r="N18" s="9">
        <v>0.985</v>
      </c>
      <c r="O18" s="9">
        <v>0.886</v>
      </c>
      <c r="P18" s="9">
        <v>0.954</v>
      </c>
      <c r="Q18" s="9">
        <v>1.015</v>
      </c>
    </row>
    <row r="19" spans="1:17">
      <c r="A19" s="5" t="s">
        <v>68</v>
      </c>
      <c r="B19" s="6">
        <v>16384</v>
      </c>
      <c r="C19" s="6">
        <v>128</v>
      </c>
      <c r="D19" s="6">
        <v>1</v>
      </c>
      <c r="E19" s="9">
        <v>9.68</v>
      </c>
      <c r="F19" s="9">
        <v>9.57</v>
      </c>
      <c r="G19" s="9">
        <v>0.989</v>
      </c>
      <c r="H19" s="9">
        <v>0.99</v>
      </c>
      <c r="I19" s="9">
        <v>1.028</v>
      </c>
      <c r="J19" s="9">
        <v>1.009</v>
      </c>
      <c r="K19" s="9">
        <v>1</v>
      </c>
      <c r="M19" s="5" t="s">
        <v>103</v>
      </c>
      <c r="N19" s="9">
        <v>0.992</v>
      </c>
      <c r="O19" s="9">
        <v>0.553</v>
      </c>
      <c r="P19" s="9">
        <v>0.511</v>
      </c>
      <c r="Q19" s="9">
        <v>0.506</v>
      </c>
    </row>
    <row r="20" spans="1:17">
      <c r="A20" s="5" t="s">
        <v>69</v>
      </c>
      <c r="B20" s="6">
        <v>16384</v>
      </c>
      <c r="C20" s="6">
        <v>128</v>
      </c>
      <c r="D20" s="6">
        <v>8</v>
      </c>
      <c r="E20" s="9">
        <v>37.89</v>
      </c>
      <c r="F20" s="9">
        <v>19.76</v>
      </c>
      <c r="G20" s="9">
        <v>0.522</v>
      </c>
      <c r="H20" s="9">
        <v>1.355</v>
      </c>
      <c r="I20" s="9">
        <v>1.059</v>
      </c>
      <c r="J20" s="9">
        <v>1.326</v>
      </c>
      <c r="K20" s="9">
        <v>1</v>
      </c>
      <c r="M20" s="5" t="s">
        <v>104</v>
      </c>
      <c r="N20" s="9">
        <v>0.998</v>
      </c>
      <c r="O20" s="9">
        <v>0.966</v>
      </c>
      <c r="P20" s="9">
        <v>1.223</v>
      </c>
      <c r="Q20" s="9">
        <v>1.317</v>
      </c>
    </row>
    <row r="21" spans="1:17">
      <c r="A21" s="5" t="s">
        <v>70</v>
      </c>
      <c r="B21" s="6">
        <v>16384</v>
      </c>
      <c r="C21" s="6">
        <v>128</v>
      </c>
      <c r="D21" s="6">
        <v>32</v>
      </c>
      <c r="E21" s="9">
        <v>40.03</v>
      </c>
      <c r="F21" s="9">
        <v>20.23</v>
      </c>
      <c r="G21" s="9">
        <v>0.505</v>
      </c>
      <c r="H21" s="9">
        <v>1.917</v>
      </c>
      <c r="I21" s="9">
        <v>1.021</v>
      </c>
      <c r="J21" s="9">
        <v>1.876</v>
      </c>
      <c r="K21" s="9">
        <v>1</v>
      </c>
      <c r="M21" s="5" t="s">
        <v>105</v>
      </c>
      <c r="N21" s="9">
        <v>0.989</v>
      </c>
      <c r="O21" s="9">
        <v>0.522</v>
      </c>
      <c r="P21" s="9">
        <v>0.505</v>
      </c>
      <c r="Q21" s="9">
        <v>0.501</v>
      </c>
    </row>
    <row r="22" spans="1:17">
      <c r="A22" s="5" t="s">
        <v>71</v>
      </c>
      <c r="B22" s="6">
        <v>16384</v>
      </c>
      <c r="C22" s="6">
        <v>128</v>
      </c>
      <c r="D22" s="6">
        <v>64</v>
      </c>
      <c r="E22" s="9">
        <v>40.71</v>
      </c>
      <c r="F22" s="9">
        <v>20.41</v>
      </c>
      <c r="G22" s="9">
        <v>0.501</v>
      </c>
      <c r="H22" s="9">
        <v>1.764</v>
      </c>
      <c r="I22" s="9">
        <v>1.046</v>
      </c>
      <c r="J22" s="9">
        <v>1.748</v>
      </c>
      <c r="K22" s="9">
        <v>1</v>
      </c>
      <c r="M22" s="5" t="s">
        <v>106</v>
      </c>
      <c r="N22" s="9">
        <v>0.987</v>
      </c>
      <c r="O22" s="9">
        <v>1.183</v>
      </c>
      <c r="P22" s="9">
        <v>1.347</v>
      </c>
      <c r="Q22" s="9">
        <v>1.001</v>
      </c>
    </row>
    <row r="23" spans="1:17">
      <c r="A23" s="5" t="s">
        <v>72</v>
      </c>
      <c r="B23" s="6">
        <v>16384</v>
      </c>
      <c r="C23" s="6">
        <v>1024</v>
      </c>
      <c r="D23" s="6">
        <v>1</v>
      </c>
      <c r="E23" s="9">
        <v>17.63</v>
      </c>
      <c r="F23" s="9">
        <v>17.41</v>
      </c>
      <c r="G23" s="9">
        <v>0.987</v>
      </c>
      <c r="H23" s="9">
        <v>0.973</v>
      </c>
      <c r="I23" s="9">
        <v>1.034</v>
      </c>
      <c r="J23" s="9">
        <v>1.029</v>
      </c>
      <c r="K23" s="9">
        <v>1</v>
      </c>
    </row>
    <row r="24" spans="1:17">
      <c r="A24" s="5" t="s">
        <v>73</v>
      </c>
      <c r="B24" s="6">
        <v>16384</v>
      </c>
      <c r="C24" s="6">
        <v>1024</v>
      </c>
      <c r="D24" s="6">
        <v>8</v>
      </c>
      <c r="E24" s="9">
        <v>96.84999999999999</v>
      </c>
      <c r="F24" s="9">
        <v>114.59</v>
      </c>
      <c r="G24" s="9">
        <v>1.183</v>
      </c>
      <c r="H24" s="9">
        <v>0.739</v>
      </c>
      <c r="I24" s="9">
        <v>0.986</v>
      </c>
      <c r="J24" s="9">
        <v>0.86</v>
      </c>
      <c r="K24" s="9">
        <v>1</v>
      </c>
      <c r="M24" s="10" t="s">
        <v>107</v>
      </c>
      <c r="N24" s="10"/>
      <c r="O24" s="10"/>
      <c r="P24" s="10"/>
      <c r="Q24" s="10"/>
    </row>
    <row r="25" spans="1:17">
      <c r="A25" s="5" t="s">
        <v>74</v>
      </c>
      <c r="B25" s="6">
        <v>16384</v>
      </c>
      <c r="C25" s="6">
        <v>1024</v>
      </c>
      <c r="D25" s="6">
        <v>32</v>
      </c>
      <c r="E25" s="9">
        <v>108.2</v>
      </c>
      <c r="F25" s="9">
        <v>145.77</v>
      </c>
      <c r="G25" s="9">
        <v>1.347</v>
      </c>
      <c r="H25" s="9">
        <v>0.648</v>
      </c>
      <c r="I25" s="9">
        <v>0.989</v>
      </c>
      <c r="J25" s="9">
        <v>0.699</v>
      </c>
      <c r="K25" s="9">
        <v>1</v>
      </c>
    </row>
    <row r="26" spans="1:17">
      <c r="A26" s="5" t="s">
        <v>75</v>
      </c>
      <c r="B26" s="6">
        <v>16384</v>
      </c>
      <c r="C26" s="6">
        <v>1024</v>
      </c>
      <c r="D26" s="6">
        <v>64</v>
      </c>
      <c r="E26" s="9">
        <v>40.44</v>
      </c>
      <c r="F26" s="9">
        <v>40.47</v>
      </c>
      <c r="G26" s="9">
        <v>1.001</v>
      </c>
      <c r="H26" s="9">
        <v>0.893</v>
      </c>
      <c r="I26" s="9">
        <v>1.121</v>
      </c>
      <c r="J26" s="9">
        <v>0.978</v>
      </c>
      <c r="K26" s="9">
        <v>1</v>
      </c>
    </row>
  </sheetData>
  <autoFilter ref="M2:R11"/>
  <mergeCells count="1">
    <mergeCell ref="M24:Q24"/>
  </mergeCells>
  <conditionalFormatting sqref="N17:Q22">
    <cfRule type="colorScale" priority="1">
      <colorScale>
        <cfvo type="num" val="0.5"/>
        <cfvo type="num" val="1.0"/>
        <cfvo type="num" val="1.4"/>
        <color rgb="FFD9EAF7"/>
        <color rgb="FFFFFFFF"/>
        <color rgb="FFFCE4D6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1"/>
  <sheetViews>
    <sheetView showGridLines="0" workbookViewId="0"/>
  </sheetViews>
  <sheetFormatPr defaultRowHeight="15"/>
  <cols>
    <col min="1" max="1" width="8.7109375" customWidth="1"/>
    <col min="2" max="2" width="12.7109375" customWidth="1"/>
    <col min="3" max="9" width="13.7109375" customWidth="1"/>
    <col min="11" max="11" width="22.7109375" customWidth="1"/>
    <col min="12" max="13" width="16.7109375" customWidth="1"/>
    <col min="14" max="14" width="20.7109375" customWidth="1"/>
  </cols>
  <sheetData>
    <row r="1" spans="1:14">
      <c r="A1" s="1" t="s">
        <v>108</v>
      </c>
    </row>
    <row r="3" spans="1:14">
      <c r="A3" s="4" t="s">
        <v>109</v>
      </c>
      <c r="B3" s="4" t="s">
        <v>110</v>
      </c>
      <c r="C3" s="4" t="s">
        <v>111</v>
      </c>
      <c r="D3" s="4" t="s">
        <v>112</v>
      </c>
      <c r="E3" s="4" t="s">
        <v>113</v>
      </c>
      <c r="F3" s="4" t="s">
        <v>114</v>
      </c>
      <c r="G3" s="4" t="s">
        <v>115</v>
      </c>
      <c r="H3" s="4" t="s">
        <v>116</v>
      </c>
      <c r="I3" s="4" t="s">
        <v>117</v>
      </c>
      <c r="K3" s="4" t="s">
        <v>124</v>
      </c>
      <c r="L3" s="4" t="s">
        <v>125</v>
      </c>
      <c r="M3" s="4" t="s">
        <v>126</v>
      </c>
      <c r="N3" s="4" t="s">
        <v>127</v>
      </c>
    </row>
    <row r="4" spans="1:14">
      <c r="A4" s="5" t="s">
        <v>118</v>
      </c>
      <c r="B4" s="5" t="s">
        <v>119</v>
      </c>
      <c r="C4" s="7">
        <v>133.966</v>
      </c>
      <c r="D4" s="7">
        <v>35.096</v>
      </c>
      <c r="E4" s="7">
        <v>60.095</v>
      </c>
      <c r="F4" s="7">
        <v>166.007</v>
      </c>
      <c r="G4" s="7">
        <v>184.001</v>
      </c>
      <c r="H4" s="7">
        <v>56.179</v>
      </c>
      <c r="I4" s="7">
        <v>82.753</v>
      </c>
      <c r="K4" s="5" t="s">
        <v>128</v>
      </c>
      <c r="L4" s="9">
        <v>133.675</v>
      </c>
      <c r="M4" s="9">
        <v>87.571</v>
      </c>
      <c r="N4" s="9">
        <v>1.5265</v>
      </c>
    </row>
    <row r="5" spans="1:14">
      <c r="A5" s="5" t="s">
        <v>120</v>
      </c>
      <c r="B5" s="5" t="s">
        <v>121</v>
      </c>
      <c r="C5" s="7">
        <v>87.584</v>
      </c>
      <c r="D5" s="7">
        <v>71.798</v>
      </c>
      <c r="E5" s="7">
        <v>89.43000000000001</v>
      </c>
      <c r="F5" s="7">
        <v>51.182</v>
      </c>
      <c r="G5" s="7">
        <v>59.407</v>
      </c>
      <c r="H5" s="7">
        <v>78.298</v>
      </c>
      <c r="I5" s="7">
        <v>95.90900000000001</v>
      </c>
      <c r="K5" s="5" t="s">
        <v>129</v>
      </c>
      <c r="L5" s="9">
        <v>141.986</v>
      </c>
      <c r="M5" s="9">
        <v>135.15</v>
      </c>
      <c r="N5" s="9">
        <v>1.0506</v>
      </c>
    </row>
    <row r="6" spans="1:14">
      <c r="A6" s="5" t="s">
        <v>122</v>
      </c>
      <c r="B6" s="5" t="s">
        <v>121</v>
      </c>
      <c r="C6" s="7">
        <v>87.559</v>
      </c>
      <c r="D6" s="7">
        <v>71.75700000000001</v>
      </c>
      <c r="E6" s="7">
        <v>89.489</v>
      </c>
      <c r="F6" s="7">
        <v>50.936</v>
      </c>
      <c r="G6" s="7">
        <v>59.316</v>
      </c>
      <c r="H6" s="7">
        <v>78.22499999999999</v>
      </c>
      <c r="I6" s="7">
        <v>96.24299999999999</v>
      </c>
      <c r="K6" s="5" t="s">
        <v>130</v>
      </c>
      <c r="L6" s="9">
        <v>40.479</v>
      </c>
      <c r="M6" s="9">
        <v>40.473</v>
      </c>
      <c r="N6" s="9">
        <v>1.0002</v>
      </c>
    </row>
    <row r="7" spans="1:14">
      <c r="A7" s="5" t="s">
        <v>123</v>
      </c>
      <c r="B7" s="5" t="s">
        <v>119</v>
      </c>
      <c r="C7" s="7">
        <v>133.384</v>
      </c>
      <c r="D7" s="7">
        <v>35.024</v>
      </c>
      <c r="E7" s="7">
        <v>59.852</v>
      </c>
      <c r="F7" s="7">
        <v>165.522</v>
      </c>
      <c r="G7" s="7">
        <v>184.532</v>
      </c>
      <c r="H7" s="7">
        <v>56.045</v>
      </c>
      <c r="I7" s="7">
        <v>82.255</v>
      </c>
    </row>
    <row r="9" spans="1:14">
      <c r="K9" s="4" t="s">
        <v>124</v>
      </c>
      <c r="L9" s="4" t="s">
        <v>131</v>
      </c>
      <c r="M9" s="4" t="s">
        <v>132</v>
      </c>
      <c r="N9" s="4" t="s">
        <v>49</v>
      </c>
    </row>
    <row r="10" spans="1:14">
      <c r="A10" s="4" t="s">
        <v>109</v>
      </c>
      <c r="B10" s="4" t="s">
        <v>110</v>
      </c>
      <c r="C10" s="4" t="s">
        <v>111</v>
      </c>
      <c r="D10" s="4" t="s">
        <v>116</v>
      </c>
      <c r="E10" s="4" t="s">
        <v>117</v>
      </c>
      <c r="K10" s="5" t="s">
        <v>128</v>
      </c>
      <c r="L10" s="9">
        <v>0.6704</v>
      </c>
      <c r="M10" s="9">
        <v>3.1042</v>
      </c>
      <c r="N10" s="9">
        <v>1</v>
      </c>
    </row>
    <row r="11" spans="1:14">
      <c r="A11" s="5" t="s">
        <v>118</v>
      </c>
      <c r="B11" s="5" t="s">
        <v>119</v>
      </c>
      <c r="C11" s="7">
        <v>134.581</v>
      </c>
      <c r="D11" s="7">
        <v>6.91</v>
      </c>
      <c r="E11" s="7">
        <v>11.639</v>
      </c>
      <c r="K11" s="5" t="s">
        <v>130</v>
      </c>
      <c r="L11" s="9">
        <v>1.8808</v>
      </c>
      <c r="M11" s="9">
        <v>1.1735</v>
      </c>
      <c r="N11" s="9">
        <v>1</v>
      </c>
    </row>
    <row r="12" spans="1:14">
      <c r="A12" s="5" t="s">
        <v>120</v>
      </c>
      <c r="B12" s="5" t="s">
        <v>121</v>
      </c>
      <c r="C12" s="7">
        <v>139.357</v>
      </c>
      <c r="D12" s="7">
        <v>7.243</v>
      </c>
      <c r="E12" s="7">
        <v>8.651999999999999</v>
      </c>
    </row>
    <row r="13" spans="1:14">
      <c r="A13" s="5" t="s">
        <v>122</v>
      </c>
      <c r="B13" s="5" t="s">
        <v>121</v>
      </c>
      <c r="C13" s="7">
        <v>130.942</v>
      </c>
      <c r="D13" s="7">
        <v>7.391</v>
      </c>
      <c r="E13" s="7">
        <v>9.663</v>
      </c>
    </row>
    <row r="14" spans="1:14">
      <c r="A14" s="5" t="s">
        <v>123</v>
      </c>
      <c r="B14" s="5" t="s">
        <v>119</v>
      </c>
      <c r="C14" s="7">
        <v>149.392</v>
      </c>
      <c r="D14" s="7">
        <v>6.792</v>
      </c>
      <c r="E14" s="7">
        <v>7.348</v>
      </c>
      <c r="K14" s="4" t="s">
        <v>76</v>
      </c>
      <c r="L14" s="4" t="s">
        <v>119</v>
      </c>
      <c r="M14" s="4" t="s">
        <v>121</v>
      </c>
      <c r="N14" s="4" t="s">
        <v>127</v>
      </c>
    </row>
    <row r="15" spans="1:14">
      <c r="K15" s="5" t="s">
        <v>79</v>
      </c>
      <c r="L15" s="7">
        <v>134.352</v>
      </c>
      <c r="M15" s="7">
        <v>86.557</v>
      </c>
      <c r="N15" s="7">
        <v>1.5522</v>
      </c>
    </row>
    <row r="16" spans="1:14">
      <c r="K16" s="5" t="s">
        <v>133</v>
      </c>
      <c r="L16" s="7">
        <v>35.06</v>
      </c>
      <c r="M16" s="7">
        <v>72.97</v>
      </c>
      <c r="N16" s="7">
        <v>0.4804</v>
      </c>
    </row>
    <row r="17" spans="1:14">
      <c r="A17" s="4" t="s">
        <v>109</v>
      </c>
      <c r="B17" s="4" t="s">
        <v>110</v>
      </c>
      <c r="C17" s="4" t="s">
        <v>111</v>
      </c>
      <c r="D17" s="4" t="s">
        <v>112</v>
      </c>
      <c r="E17" s="4" t="s">
        <v>113</v>
      </c>
      <c r="F17" s="4" t="s">
        <v>114</v>
      </c>
      <c r="G17" s="4" t="s">
        <v>115</v>
      </c>
      <c r="H17" s="4" t="s">
        <v>116</v>
      </c>
      <c r="I17" s="4" t="s">
        <v>117</v>
      </c>
      <c r="K17" s="5" t="s">
        <v>80</v>
      </c>
      <c r="L17" s="7">
        <v>59.843</v>
      </c>
      <c r="M17" s="7">
        <v>93.29300000000001</v>
      </c>
      <c r="N17" s="7">
        <v>0.6415</v>
      </c>
    </row>
    <row r="18" spans="1:14">
      <c r="A18" s="5" t="s">
        <v>118</v>
      </c>
      <c r="B18" s="5" t="s">
        <v>119</v>
      </c>
      <c r="C18" s="7">
        <v>40.485</v>
      </c>
      <c r="D18" s="7">
        <v>7.042</v>
      </c>
      <c r="E18" s="7">
        <v>28.194</v>
      </c>
      <c r="F18" s="7">
        <v>53.159</v>
      </c>
      <c r="G18" s="7">
        <v>63.931</v>
      </c>
      <c r="H18" s="7">
        <v>61.423</v>
      </c>
      <c r="I18" s="7">
        <v>79.55500000000001</v>
      </c>
      <c r="K18" s="5" t="s">
        <v>134</v>
      </c>
      <c r="L18" s="7">
        <v>166</v>
      </c>
      <c r="M18" s="7">
        <v>51.1</v>
      </c>
      <c r="N18" s="7">
        <v>3.2484</v>
      </c>
    </row>
    <row r="19" spans="1:14">
      <c r="A19" s="5" t="s">
        <v>120</v>
      </c>
      <c r="B19" s="5" t="s">
        <v>121</v>
      </c>
      <c r="C19" s="7">
        <v>40.468</v>
      </c>
      <c r="D19" s="7">
        <v>6.973</v>
      </c>
      <c r="E19" s="7">
        <v>15.6</v>
      </c>
      <c r="F19" s="7">
        <v>50.977</v>
      </c>
      <c r="G19" s="7">
        <v>53.951</v>
      </c>
      <c r="H19" s="7">
        <v>59.122</v>
      </c>
      <c r="I19" s="7">
        <v>67.566</v>
      </c>
      <c r="K19" s="5" t="s">
        <v>81</v>
      </c>
      <c r="L19" s="7">
        <v>183.97</v>
      </c>
      <c r="M19" s="7">
        <v>58.83</v>
      </c>
      <c r="N19" s="7">
        <v>3.1272</v>
      </c>
    </row>
    <row r="20" spans="1:14">
      <c r="A20" s="5" t="s">
        <v>122</v>
      </c>
      <c r="B20" s="5" t="s">
        <v>121</v>
      </c>
      <c r="C20" s="7">
        <v>40.478</v>
      </c>
      <c r="D20" s="7">
        <v>6.906</v>
      </c>
      <c r="E20" s="7">
        <v>12.689</v>
      </c>
      <c r="F20" s="7">
        <v>51.173</v>
      </c>
      <c r="G20" s="7">
        <v>54.346</v>
      </c>
      <c r="H20" s="7">
        <v>59.256</v>
      </c>
      <c r="I20" s="7">
        <v>66.455</v>
      </c>
      <c r="K20" s="5" t="s">
        <v>135</v>
      </c>
      <c r="L20" s="7">
        <v>56.142</v>
      </c>
      <c r="M20" s="7">
        <v>79.45999999999999</v>
      </c>
      <c r="N20" s="7">
        <v>0.7066</v>
      </c>
    </row>
    <row r="21" spans="1:14">
      <c r="A21" s="5" t="s">
        <v>123</v>
      </c>
      <c r="B21" s="5" t="s">
        <v>119</v>
      </c>
      <c r="C21" s="7">
        <v>40.474</v>
      </c>
      <c r="D21" s="7">
        <v>6.813</v>
      </c>
      <c r="E21" s="7">
        <v>25.013</v>
      </c>
      <c r="F21" s="7">
        <v>53.067</v>
      </c>
      <c r="G21" s="7">
        <v>63.153</v>
      </c>
      <c r="H21" s="7">
        <v>61.1</v>
      </c>
      <c r="I21" s="7">
        <v>75.699</v>
      </c>
      <c r="K21" s="5" t="s">
        <v>82</v>
      </c>
      <c r="L21" s="7">
        <v>82.27200000000001</v>
      </c>
      <c r="M21" s="7">
        <v>99.709</v>
      </c>
      <c r="N21" s="7">
        <v>0.8250999999999999</v>
      </c>
    </row>
  </sheetData>
  <autoFilter ref="K14:N2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1" t="s">
        <v>136</v>
      </c>
    </row>
    <row r="2" spans="1:3">
      <c r="A2" s="10" t="s">
        <v>137</v>
      </c>
    </row>
    <row r="4" spans="1:3">
      <c r="A4" s="4" t="s">
        <v>138</v>
      </c>
      <c r="B4" s="4" t="s">
        <v>139</v>
      </c>
      <c r="C4" s="4" t="s">
        <v>140</v>
      </c>
    </row>
    <row r="5" spans="1:3">
      <c r="A5" s="5" t="s">
        <v>141</v>
      </c>
      <c r="B5" s="7">
        <v>916</v>
      </c>
      <c r="C5" s="7">
        <v>913</v>
      </c>
    </row>
    <row r="6" spans="1:3">
      <c r="A6" s="5" t="s">
        <v>142</v>
      </c>
      <c r="B6" s="7">
        <v>11</v>
      </c>
      <c r="C6" s="7">
        <v>9</v>
      </c>
    </row>
  </sheetData>
  <autoFilter ref="A4:C6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4E78"/>
  </sheetPr>
  <dimension ref="A1:A2"/>
  <sheetViews>
    <sheetView showGridLines="0" workbookViewId="0"/>
  </sheetViews>
  <sheetFormatPr defaultRowHeight="15"/>
  <cols>
    <col min="1" max="17" width="12.7109375" customWidth="1"/>
  </cols>
  <sheetData>
    <row r="1" spans="1:1">
      <c r="A1" s="1" t="s">
        <v>143</v>
      </c>
    </row>
    <row r="2" spans="1:1">
      <c r="A2" s="10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01_Raw_vs_llmd</vt:lpstr>
      <vt:lpstr>02_Agg_vs_1P1D</vt:lpstr>
      <vt:lpstr>03_2P2D_vs_1P3D</vt:lpstr>
      <vt:lpstr>04_Equal_ABBA</vt:lpstr>
      <vt:lpstr>05_3P1D_Failure</vt:lpstr>
      <vt:lpstr>06_Dashboard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Qwen3-32B P/D and Topology Benchmark Charts on Intel B60</dc:title>
  <dc:subject>Chart companion to whitepaper/pd/qwen3-32b-intel-b60-benchmark.md</dc:subject>
  <dc:creator>llm-d benchmark report</dc:creator>
  <dc:description>Generated from the Markdown report by generate_benchmark_charts.py</dc:description>
  <cp:lastModifiedBy>llm-d benchmark report</cp:lastModifiedBy>
  <dcterms:created xsi:type="dcterms:W3CDTF">2026-09-04T04:06:41Z</dcterms:created>
  <dcterms:modified xsi:type="dcterms:W3CDTF">2026-09-04T04:06:41Z</dcterms:modified>
</cp:coreProperties>
</file>